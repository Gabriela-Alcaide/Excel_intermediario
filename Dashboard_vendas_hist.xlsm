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customXml/itemProps13.xml" ContentType="application/vnd.openxmlformats-officedocument.customXmlProperties+xml"/>
  <Override PartName="/customXml/itemProps24.xml" ContentType="application/vnd.openxmlformats-officedocument.customXmlProperties+xml"/>
  <Override PartName="/xl/slicerCaches/slicerCache2.xml" ContentType="application/vnd.ms-excel.slicerCache+xml"/>
  <Override PartName="/xl/charts/style6.xml" ContentType="application/vnd.ms-office.chartstyle+xml"/>
  <Override PartName="/xl/worksheets/sheet7.xml" ContentType="application/vnd.openxmlformats-officedocument.spreadsheetml.worksheet+xml"/>
  <Override PartName="/xl/pivotCache/pivotCacheDefinition6.xml" ContentType="application/vnd.openxmlformats-officedocument.spreadsheetml.pivotCacheDefinition+xml"/>
  <Override PartName="/xl/pivotTables/pivotTable2.xml" ContentType="application/vnd.openxmlformats-officedocument.spreadsheetml.pivot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customXml/itemProps20.xml" ContentType="application/vnd.openxmlformats-officedocument.customXmlProperties+xml"/>
  <Override PartName="/xl/charts/style2.xml" ContentType="application/vnd.ms-office.chartstyle+xml"/>
  <Override PartName="/xl/charts/colors9.xml" ContentType="application/vnd.ms-office.chartcolorstyle+xml"/>
  <Default Extension="data" ContentType="application/vnd.openxmlformats-officedocument.model+data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worksheets/sheet1.xml" ContentType="application/vnd.openxmlformats-officedocument.spreadsheetml.worksheet+xml"/>
  <Override PartName="/customXml/itemProps8.xml" ContentType="application/vnd.openxmlformats-officedocument.customXmlProperties+xml"/>
  <Override PartName="/xl/charts/colors5.xml" ContentType="application/vnd.ms-office.chartcolorstyle+xml"/>
  <Override PartName="/xl/charts/style10.xml" ContentType="application/vnd.ms-office.chartstyle+xml"/>
  <Override PartName="/xl/sharedStrings.xml" ContentType="application/vnd.openxmlformats-officedocument.spreadsheetml.sharedStrings+xml"/>
  <Override PartName="/customXml/itemProps6.xml" ContentType="application/vnd.openxmlformats-officedocument.customXmlProperties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charts/chart9.xml" ContentType="application/vnd.openxmlformats-officedocument.drawingml.chart+xml"/>
  <Override PartName="/customXml/itemProps4.xml" ContentType="application/vnd.openxmlformats-officedocument.customXmlProperties+xml"/>
  <Override PartName="/customXml/itemProps18.xml" ContentType="application/vnd.openxmlformats-officedocument.customXmlProperties+xml"/>
  <Override PartName="/customXml/itemProps27.xml" ContentType="application/vnd.openxmlformats-officedocument.customXmlProperties+xml"/>
  <Override PartName="/xl/slicers/slicer2.xml" ContentType="application/vnd.ms-excel.slicer+xml"/>
  <Override PartName="/xl/ctrlProps/ctrlProp2.xml" ContentType="application/vnd.ms-excel.controlproperties+xml"/>
  <Override PartName="/xl/charts/colors1.xml" ContentType="application/vnd.ms-office.chartcolorstyle+xml"/>
  <Default Extension="png" ContentType="image/png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Default Extension="bin" ContentType="application/vnd.openxmlformats-officedocument.spreadsheetml.printerSettings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customXml/itemProps2.xml" ContentType="application/vnd.openxmlformats-officedocument.customXmlProperties+xml"/>
  <Override PartName="/customXml/itemProps16.xml" ContentType="application/vnd.openxmlformats-officedocument.customXmlProperties+xml"/>
  <Override PartName="/customXml/itemProps25.xml" ContentType="application/vnd.openxmlformats-officedocument.customXmlProperties+xml"/>
  <Override PartName="/xl/slicerCaches/slicerCache3.xml" ContentType="application/vnd.ms-excel.slicerCache+xml"/>
  <Override PartName="/xl/charts/style9.xml" ContentType="application/vnd.ms-office.chartsty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customXml/itemProps14.xml" ContentType="application/vnd.openxmlformats-officedocument.customXmlProperties+xml"/>
  <Override PartName="/customXml/itemProps23.xml" ContentType="application/vnd.openxmlformats-officedocument.customXmlProperties+xml"/>
  <Override PartName="/xl/slicerCaches/slicerCache1.xml" ContentType="application/vnd.ms-excel.slicerCache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7.xml" ContentType="application/vnd.openxmlformats-officedocument.spreadsheetml.pivotCacheDefinition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charts/chart3.xml" ContentType="application/vnd.openxmlformats-officedocument.drawingml.chart+xml"/>
  <Override PartName="/customXml/itemProps12.xml" ContentType="application/vnd.openxmlformats-officedocument.customXmlProperties+xml"/>
  <Override PartName="/customXml/itemProps21.xml" ContentType="application/vnd.openxmlformats-officedocument.customXmlProperti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customXml/itemProps10.xml" ContentType="application/vnd.openxmlformats-officedocument.customXmlProperties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harts/colors6.xml" ContentType="application/vnd.ms-office.chartcolorstyle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customXml/itemProps9.xml" ContentType="application/vnd.openxmlformats-officedocument.customXmlProperties+xml"/>
  <Override PartName="/xl/charts/colors4.xml" ContentType="application/vnd.ms-office.chartcolorstyle+xml"/>
  <Override PartName="/xl/charts/colors10.xml" ContentType="application/vnd.ms-office.chartcolorstyle+xml"/>
  <Override PartName="/customXml/itemProps7.xml" ContentType="application/vnd.openxmlformats-officedocument.customXmlProperties+xml"/>
  <Override PartName="/xl/charts/colors2.xml" ContentType="application/vnd.ms-office.chartcolorstyle+xml"/>
  <Override PartName="/xl/pivotCache/pivotCacheRecords1.xml" ContentType="application/vnd.openxmlformats-officedocument.spreadsheetml.pivotCacheRecords+xml"/>
  <Override PartName="/xl/metadata.xml" ContentType="application/vnd.openxmlformats-officedocument.spreadsheetml.sheetMetadata+xml"/>
  <Override PartName="/xl/pivotTables/pivotTable8.xml" ContentType="application/vnd.openxmlformats-officedocument.spreadsheetml.pivotTable+xml"/>
  <Override PartName="/xl/charts/chart8.xml" ContentType="application/vnd.openxmlformats-officedocument.drawingml.chart+xml"/>
  <Override PartName="/customXml/itemProps5.xml" ContentType="application/vnd.openxmlformats-officedocument.customXmlProperties+xml"/>
  <Override PartName="/customXml/itemProps17.xml" ContentType="application/vnd.openxmlformats-officedocument.customXmlProperties+xml"/>
  <Override PartName="/customXml/itemProps19.xml" ContentType="application/vnd.openxmlformats-officedocument.customXmlProperties+xml"/>
  <Override PartName="/xl/slicers/slicer1.xml" ContentType="application/vnd.ms-excel.slicer+xml"/>
  <Override PartName="/xl/ctrlProps/ctrlProp1.xml" ContentType="application/vnd.ms-excel.controlproperties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customXml/itemProps3.xml" ContentType="application/vnd.openxmlformats-officedocument.customXmlProperties+xml"/>
  <Override PartName="/customXml/itemProps15.xml" ContentType="application/vnd.openxmlformats-officedocument.customXmlProperties+xml"/>
  <Override PartName="/customXml/itemProps26.xml" ContentType="application/vnd.openxmlformats-officedocument.customXmlProperties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customXml/itemProps11.xml" ContentType="application/vnd.openxmlformats-officedocument.customXmlProperties+xml"/>
  <Override PartName="/customXml/itemProps22.xml" ContentType="application/vnd.openxmlformats-officedocument.customXmlProperties+xml"/>
  <Override PartName="/xl/pivotCache/pivotCacheDefinition8.xml" ContentType="application/vnd.openxmlformats-officedocument.spreadsheetml.pivotCacheDefinition+xml"/>
  <Override PartName="/xl/charts/style4.xml" ContentType="application/vnd.ms-office.chartstyle+xml"/>
  <Default Extension="rels" ContentType="application/vnd.openxmlformats-package.relationships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connections.xml" ContentType="application/vnd.openxmlformats-officedocument.spreadsheetml.connections+xml"/>
  <Override PartName="/xl/charts/colors7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E757BCB4-07E6-AE0B-56E0-F0EEF7A6E26C}"/>
  <workbookPr codeName="EstaPastaDeTrabalho" hidePivotFieldList="1"/>
  <bookViews>
    <workbookView xWindow="28680" yWindow="-120" windowWidth="20640" windowHeight="11040" tabRatio="698" firstSheet="2" activeTab="12"/>
  </bookViews>
  <sheets>
    <sheet name="Menu" sheetId="25" r:id="rId1"/>
    <sheet name="Produtos" sheetId="17" r:id="rId2"/>
    <sheet name="Vendedores" sheetId="28" r:id="rId3"/>
    <sheet name="Vendas" sheetId="16" r:id="rId4"/>
    <sheet name="Vendas histórico" sheetId="41" r:id="rId5"/>
    <sheet name="Consultas" sheetId="24" state="hidden" r:id="rId6"/>
    <sheet name="DN_Produtos" sheetId="35" state="hidden" r:id="rId7"/>
    <sheet name="DN_Vendas" sheetId="37" state="hidden" r:id="rId8"/>
    <sheet name="Cadastros Auxiliares" sheetId="23" state="hidden" r:id="rId9"/>
    <sheet name="DN_Vendedores" sheetId="39" state="hidden" r:id="rId10"/>
    <sheet name="Dashboard" sheetId="18" r:id="rId11"/>
    <sheet name="DN_Desafio Vendas_Hist" sheetId="42" r:id="rId12"/>
    <sheet name="Dashboard Histórico" sheetId="40" r:id="rId13"/>
  </sheets>
  <definedNames>
    <definedName name="_xlnm._FilterDatabase" localSheetId="3" hidden="1">Vendas!$B$4:$E$86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FINALAULA5DESAFIORESOLVIDO.xlsxTB_Vendas_Hist1" hidden="1">TB_Vendas_Hist[]</definedName>
    <definedName name="_xlcn.WorksheetConnection_VendedoresA4D91" hidden="1">Vendedores!$A$4:$D$9</definedName>
    <definedName name="DadosExternos_1" localSheetId="4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24519"/>
  <pivotCaches>
    <pivotCache cacheId="7" r:id="rId14"/>
    <pivotCache cacheId="8" r:id="rId15"/>
    <pivotCache cacheId="9" r:id="rId16"/>
    <pivotCache cacheId="10" r:id="rId17"/>
    <pivotCache cacheId="11" r:id="rId18"/>
    <pivotCache cacheId="12" r:id="rId19"/>
    <pivotCache cacheId="13" r:id="rId20"/>
  </pivotCaches>
  <fileRecoveryPr repairLoad="1"/>
  <extLst xmlns:x15="http://schemas.microsoft.com/office/spreadsheetml/2010/11/main">
    <ext xmlns:x14="http://schemas.microsoft.com/office/spreadsheetml/2009/9/main" uri="{876F7934-8845-4945-9796-88D515C7AA90}">
      <x14:pivotCaches>
        <pivotCache cacheId="10" r:id="rId21"/>
      </x14:pivotCaches>
    </ex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42"/>
  <c r="L5"/>
  <c r="L4"/>
  <c r="I6" i="37"/>
  <c r="I5"/>
  <c r="I4"/>
  <c r="F5" i="16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C9" i="24"/>
  <c r="C7"/>
  <c r="F9"/>
  <c r="J6" i="37"/>
  <c r="K6"/>
  <c r="K4"/>
  <c r="N6" i="42"/>
  <c r="N5"/>
  <c r="K5" i="37"/>
  <c r="J4"/>
  <c r="J5"/>
  <c r="M4" i="42"/>
  <c r="M6"/>
  <c r="M5"/>
  <c r="N4"/>
  <c r="D6" i="16"/>
  <c r="D10"/>
  <c r="D14"/>
  <c r="D18"/>
  <c r="D22"/>
  <c r="D26"/>
  <c r="D30"/>
  <c r="D34"/>
  <c r="D38"/>
  <c r="D42"/>
  <c r="D46"/>
  <c r="D50"/>
  <c r="D54"/>
  <c r="D58"/>
  <c r="D62"/>
  <c r="D66"/>
  <c r="D70"/>
  <c r="D74"/>
  <c r="D78"/>
  <c r="D82"/>
  <c r="D86"/>
  <c r="I8" a="1"/>
  <c r="I12" a="1"/>
  <c r="I16" a="1"/>
  <c r="I20" a="1"/>
  <c r="I24" a="1"/>
  <c r="I28" a="1"/>
  <c r="I32" a="1"/>
  <c r="I36" a="1"/>
  <c r="I40" a="1"/>
  <c r="I44" a="1"/>
  <c r="I48" a="1"/>
  <c r="I52" a="1"/>
  <c r="I56" a="1"/>
  <c r="I60" a="1"/>
  <c r="I64" a="1"/>
  <c r="I68" a="1"/>
  <c r="I72" a="1"/>
  <c r="I76" a="1"/>
  <c r="I80" a="1"/>
  <c r="I84" a="1"/>
  <c r="J6"/>
  <c r="J10"/>
  <c r="J14"/>
  <c r="J18"/>
  <c r="J22"/>
  <c r="J26"/>
  <c r="J30"/>
  <c r="J34"/>
  <c r="J38"/>
  <c r="J42"/>
  <c r="J46"/>
  <c r="J50"/>
  <c r="J54"/>
  <c r="J58"/>
  <c r="J62"/>
  <c r="J66"/>
  <c r="J70"/>
  <c r="J74"/>
  <c r="J78"/>
  <c r="J82"/>
  <c r="J86"/>
  <c r="D5"/>
  <c r="D9"/>
  <c r="D13"/>
  <c r="D17"/>
  <c r="D21"/>
  <c r="D25"/>
  <c r="D29"/>
  <c r="D33"/>
  <c r="D37"/>
  <c r="D41"/>
  <c r="D45"/>
  <c r="D49"/>
  <c r="D53"/>
  <c r="D57"/>
  <c r="D61"/>
  <c r="D65"/>
  <c r="D69"/>
  <c r="D73"/>
  <c r="D77"/>
  <c r="D81"/>
  <c r="D85"/>
  <c r="I7" a="1"/>
  <c r="I11" a="1"/>
  <c r="I15" a="1"/>
  <c r="I19" a="1"/>
  <c r="I23" a="1"/>
  <c r="I27" a="1"/>
  <c r="I31" a="1"/>
  <c r="I35" a="1"/>
  <c r="I39" a="1"/>
  <c r="I43" a="1"/>
  <c r="I47" a="1"/>
  <c r="I51" a="1"/>
  <c r="I55" a="1"/>
  <c r="I59" a="1"/>
  <c r="I63" a="1"/>
  <c r="I67" a="1"/>
  <c r="I71" a="1"/>
  <c r="I75" a="1"/>
  <c r="I79" a="1"/>
  <c r="I83" a="1"/>
  <c r="J5"/>
  <c r="J9"/>
  <c r="J13"/>
  <c r="J17"/>
  <c r="J21"/>
  <c r="J25"/>
  <c r="J29"/>
  <c r="J33"/>
  <c r="J37"/>
  <c r="J41"/>
  <c r="J45"/>
  <c r="J49"/>
  <c r="J53"/>
  <c r="J57"/>
  <c r="J61"/>
  <c r="J65"/>
  <c r="J69"/>
  <c r="J73"/>
  <c r="J77"/>
  <c r="J81"/>
  <c r="J85"/>
  <c r="C8" i="24" a="1"/>
  <c r="BK4" i="18"/>
  <c r="AQ4"/>
  <c r="C13" i="24"/>
  <c r="D8" i="16"/>
  <c r="D12"/>
  <c r="D16"/>
  <c r="D20"/>
  <c r="D24"/>
  <c r="D28"/>
  <c r="D32"/>
  <c r="D36"/>
  <c r="D40"/>
  <c r="D44"/>
  <c r="D48"/>
  <c r="D52"/>
  <c r="D56"/>
  <c r="D60"/>
  <c r="D64"/>
  <c r="D68"/>
  <c r="D72"/>
  <c r="D76"/>
  <c r="D80"/>
  <c r="D84"/>
  <c r="I6" a="1"/>
  <c r="I10" a="1"/>
  <c r="I14" a="1"/>
  <c r="I18" a="1"/>
  <c r="I22" a="1"/>
  <c r="I26" a="1"/>
  <c r="I30" a="1"/>
  <c r="I34" a="1"/>
  <c r="I38" a="1"/>
  <c r="I42" a="1"/>
  <c r="I46" a="1"/>
  <c r="I50" a="1"/>
  <c r="I54" a="1"/>
  <c r="I58" a="1"/>
  <c r="I62" a="1"/>
  <c r="I66" a="1"/>
  <c r="I70" a="1"/>
  <c r="I74" a="1"/>
  <c r="I78" a="1"/>
  <c r="I82" a="1"/>
  <c r="I86" a="1"/>
  <c r="J8"/>
  <c r="J12"/>
  <c r="J16"/>
  <c r="J20"/>
  <c r="J24"/>
  <c r="J28"/>
  <c r="J32"/>
  <c r="J36"/>
  <c r="J40"/>
  <c r="J44"/>
  <c r="J48"/>
  <c r="J52"/>
  <c r="J56"/>
  <c r="J60"/>
  <c r="J64"/>
  <c r="J68"/>
  <c r="J72"/>
  <c r="J76"/>
  <c r="J80"/>
  <c r="J84"/>
  <c r="F7" i="24"/>
  <c r="W4" i="18"/>
  <c r="C10" i="24"/>
  <c r="D7" i="16"/>
  <c r="D11"/>
  <c r="D15"/>
  <c r="D19"/>
  <c r="D23"/>
  <c r="D27"/>
  <c r="D31"/>
  <c r="D35"/>
  <c r="D39"/>
  <c r="D43"/>
  <c r="D47"/>
  <c r="D51"/>
  <c r="D55"/>
  <c r="D59"/>
  <c r="D63"/>
  <c r="D67"/>
  <c r="D71"/>
  <c r="D75"/>
  <c r="D79"/>
  <c r="D83"/>
  <c r="I5" a="1"/>
  <c r="I9" a="1"/>
  <c r="I13" a="1"/>
  <c r="I17" a="1"/>
  <c r="I21" a="1"/>
  <c r="I25" a="1"/>
  <c r="I29" a="1"/>
  <c r="I33" a="1"/>
  <c r="I37" a="1"/>
  <c r="I41" a="1"/>
  <c r="I45" a="1"/>
  <c r="I49" a="1"/>
  <c r="I53" a="1"/>
  <c r="I57" a="1"/>
  <c r="I61" a="1"/>
  <c r="I65" a="1"/>
  <c r="I69" a="1"/>
  <c r="I73" a="1"/>
  <c r="I77" a="1"/>
  <c r="I81" a="1"/>
  <c r="I85" a="1"/>
  <c r="J7"/>
  <c r="J11"/>
  <c r="J15"/>
  <c r="J19"/>
  <c r="J23"/>
  <c r="J27"/>
  <c r="J31"/>
  <c r="J35"/>
  <c r="J39"/>
  <c r="J43"/>
  <c r="J47"/>
  <c r="J51"/>
  <c r="J55"/>
  <c r="J59"/>
  <c r="J63"/>
  <c r="J67"/>
  <c r="J71"/>
  <c r="J75"/>
  <c r="J79"/>
  <c r="J83"/>
  <c r="C11" i="24" a="1"/>
  <c r="C11" l="1"/>
  <c r="I85" i="16"/>
  <c r="I81"/>
  <c r="I77"/>
  <c r="I73"/>
  <c r="I69"/>
  <c r="I65"/>
  <c r="I61"/>
  <c r="I57"/>
  <c r="I53"/>
  <c r="I49"/>
  <c r="I45"/>
  <c r="I41"/>
  <c r="I37"/>
  <c r="I33"/>
  <c r="I29"/>
  <c r="I25"/>
  <c r="I21"/>
  <c r="I17"/>
  <c r="I13"/>
  <c r="I9"/>
  <c r="I5"/>
  <c r="I86"/>
  <c r="I82"/>
  <c r="I78"/>
  <c r="I74"/>
  <c r="I70"/>
  <c r="I66"/>
  <c r="I62"/>
  <c r="I58"/>
  <c r="I54"/>
  <c r="I50"/>
  <c r="I46"/>
  <c r="I42"/>
  <c r="I38"/>
  <c r="I34"/>
  <c r="I30"/>
  <c r="I26"/>
  <c r="I22"/>
  <c r="I18"/>
  <c r="I14"/>
  <c r="I10"/>
  <c r="I6"/>
  <c r="C8" i="24"/>
  <c r="I83" i="16"/>
  <c r="I79"/>
  <c r="I75"/>
  <c r="I71"/>
  <c r="I67"/>
  <c r="I63"/>
  <c r="I59"/>
  <c r="I55"/>
  <c r="I51"/>
  <c r="I47"/>
  <c r="I43"/>
  <c r="I39"/>
  <c r="I35"/>
  <c r="I31"/>
  <c r="I27"/>
  <c r="I23"/>
  <c r="I19"/>
  <c r="I15"/>
  <c r="I11"/>
  <c r="I7"/>
  <c r="I84"/>
  <c r="I80"/>
  <c r="I76"/>
  <c r="I72"/>
  <c r="I68"/>
  <c r="I64"/>
  <c r="I60"/>
  <c r="I56"/>
  <c r="I52"/>
  <c r="I48"/>
  <c r="I44"/>
  <c r="I40"/>
  <c r="I36"/>
  <c r="I32"/>
  <c r="I28"/>
  <c r="I24"/>
  <c r="I20"/>
  <c r="I16"/>
  <c r="I12"/>
  <c r="I8"/>
  <c r="C12" i="24" a="1"/>
  <c r="C12" s="1"/>
  <c r="K51" i="16"/>
  <c r="K39"/>
  <c r="K27"/>
  <c r="K15"/>
  <c r="K50"/>
  <c r="K38"/>
  <c r="K26"/>
  <c r="K14"/>
  <c r="K76"/>
  <c r="K64"/>
  <c r="K52"/>
  <c r="K40"/>
  <c r="K28"/>
  <c r="K16"/>
  <c r="K85"/>
  <c r="K73"/>
  <c r="K61"/>
  <c r="K49"/>
  <c r="K37"/>
  <c r="K25"/>
  <c r="K13"/>
  <c r="K86"/>
  <c r="K84"/>
  <c r="K72"/>
  <c r="K60"/>
  <c r="K48"/>
  <c r="K36"/>
  <c r="K24"/>
  <c r="K12"/>
  <c r="K83"/>
  <c r="K71"/>
  <c r="K59"/>
  <c r="K47"/>
  <c r="K35"/>
  <c r="K23"/>
  <c r="K11"/>
  <c r="K82"/>
  <c r="K70"/>
  <c r="K58"/>
  <c r="K46"/>
  <c r="K34"/>
  <c r="K22"/>
  <c r="K10"/>
  <c r="K81"/>
  <c r="K69"/>
  <c r="K57"/>
  <c r="K45"/>
  <c r="K33"/>
  <c r="K21"/>
  <c r="K9"/>
  <c r="K63"/>
  <c r="K80"/>
  <c r="K68"/>
  <c r="K56"/>
  <c r="K44"/>
  <c r="K32"/>
  <c r="K20"/>
  <c r="K8"/>
  <c r="K62"/>
  <c r="K79"/>
  <c r="K67"/>
  <c r="K55"/>
  <c r="K43"/>
  <c r="K31"/>
  <c r="K19"/>
  <c r="K7"/>
  <c r="K78"/>
  <c r="K66"/>
  <c r="K54"/>
  <c r="K42"/>
  <c r="K30"/>
  <c r="K18"/>
  <c r="K6"/>
  <c r="K75"/>
  <c r="K74"/>
  <c r="K77"/>
  <c r="K65"/>
  <c r="K53"/>
  <c r="K41"/>
  <c r="K29"/>
  <c r="K17"/>
  <c r="K5"/>
  <c r="L68"/>
  <c r="L76"/>
  <c r="A76"/>
  <c r="A77"/>
  <c r="A78"/>
  <c r="A79"/>
  <c r="A80"/>
  <c r="A81"/>
  <c r="A82"/>
  <c r="A83"/>
  <c r="A84"/>
  <c r="A85"/>
  <c r="A86"/>
  <c r="A65"/>
  <c r="A66"/>
  <c r="A67"/>
  <c r="A68"/>
  <c r="A69"/>
  <c r="A70"/>
  <c r="A71"/>
  <c r="A72"/>
  <c r="A73"/>
  <c r="A74"/>
  <c r="A75"/>
  <c r="A64"/>
  <c r="A5"/>
  <c r="G79"/>
  <c r="G63"/>
  <c r="G47"/>
  <c r="G31"/>
  <c r="G15"/>
  <c r="G84"/>
  <c r="G68"/>
  <c r="G52"/>
  <c r="G36"/>
  <c r="G20"/>
  <c r="G73"/>
  <c r="G57"/>
  <c r="G41"/>
  <c r="G25"/>
  <c r="G9"/>
  <c r="G78"/>
  <c r="G62"/>
  <c r="G46"/>
  <c r="G30"/>
  <c r="G14"/>
  <c r="G83"/>
  <c r="G67"/>
  <c r="G51"/>
  <c r="G35"/>
  <c r="G19"/>
  <c r="G72"/>
  <c r="G56"/>
  <c r="G40"/>
  <c r="G24"/>
  <c r="G8"/>
  <c r="G77"/>
  <c r="G61"/>
  <c r="G45"/>
  <c r="G29"/>
  <c r="G13"/>
  <c r="G82"/>
  <c r="G66"/>
  <c r="G50"/>
  <c r="G34"/>
  <c r="G18"/>
  <c r="G71"/>
  <c r="G55"/>
  <c r="G39"/>
  <c r="G23"/>
  <c r="G7"/>
  <c r="G76"/>
  <c r="G60"/>
  <c r="G44"/>
  <c r="G28"/>
  <c r="G12"/>
  <c r="G81"/>
  <c r="G65"/>
  <c r="G49"/>
  <c r="G33"/>
  <c r="G17"/>
  <c r="G86"/>
  <c r="G70"/>
  <c r="G54"/>
  <c r="G38"/>
  <c r="G22"/>
  <c r="G6"/>
  <c r="G75"/>
  <c r="G59"/>
  <c r="G43"/>
  <c r="G27"/>
  <c r="G11"/>
  <c r="G80"/>
  <c r="G64"/>
  <c r="G48"/>
  <c r="G32"/>
  <c r="G16"/>
  <c r="G85"/>
  <c r="G69"/>
  <c r="G53"/>
  <c r="G37"/>
  <c r="G21"/>
  <c r="G5"/>
  <c r="G74"/>
  <c r="G58"/>
  <c r="G42"/>
  <c r="G26"/>
  <c r="G10"/>
  <c r="H10" l="1"/>
  <c r="H26"/>
  <c r="H42"/>
  <c r="H58"/>
  <c r="H74"/>
  <c r="H5"/>
  <c r="H21"/>
  <c r="H37"/>
  <c r="H53"/>
  <c r="H69"/>
  <c r="H85"/>
  <c r="H16"/>
  <c r="H32"/>
  <c r="H48"/>
  <c r="H64"/>
  <c r="H80"/>
  <c r="H11"/>
  <c r="H27"/>
  <c r="H43"/>
  <c r="H59"/>
  <c r="H75"/>
  <c r="H6"/>
  <c r="H22"/>
  <c r="H38"/>
  <c r="H54"/>
  <c r="H70"/>
  <c r="H86"/>
  <c r="H17"/>
  <c r="H33"/>
  <c r="H49"/>
  <c r="H65"/>
  <c r="H81"/>
  <c r="H12"/>
  <c r="H28"/>
  <c r="H44"/>
  <c r="H60"/>
  <c r="H76"/>
  <c r="H7"/>
  <c r="H23"/>
  <c r="H39"/>
  <c r="H55"/>
  <c r="H71"/>
  <c r="H18"/>
  <c r="H34"/>
  <c r="H50"/>
  <c r="H66"/>
  <c r="H82"/>
  <c r="H13"/>
  <c r="H29"/>
  <c r="H45"/>
  <c r="H61"/>
  <c r="H77"/>
  <c r="H8"/>
  <c r="H24"/>
  <c r="H40"/>
  <c r="H56"/>
  <c r="H72"/>
  <c r="H19"/>
  <c r="H35"/>
  <c r="H51"/>
  <c r="H67"/>
  <c r="H83"/>
  <c r="H14"/>
  <c r="H30"/>
  <c r="H46"/>
  <c r="H62"/>
  <c r="H78"/>
  <c r="H9"/>
  <c r="H25"/>
  <c r="H41"/>
  <c r="H57"/>
  <c r="H73"/>
  <c r="H20"/>
  <c r="H36"/>
  <c r="H52"/>
  <c r="H68"/>
  <c r="H84"/>
  <c r="H15"/>
  <c r="H31"/>
  <c r="H47"/>
  <c r="H63"/>
  <c r="H79"/>
  <c r="L83"/>
  <c r="L75"/>
  <c r="L73"/>
  <c r="L65"/>
  <c r="L64"/>
  <c r="L79"/>
  <c r="L71"/>
  <c r="L80"/>
  <c r="L72"/>
  <c r="L84"/>
  <c r="L67"/>
  <c r="L82"/>
  <c r="L74"/>
  <c r="L66"/>
  <c r="L86"/>
  <c r="L78"/>
  <c r="L70"/>
  <c r="L85"/>
  <c r="L77"/>
  <c r="L69"/>
  <c r="L81"/>
  <c r="L5" l="1"/>
  <c r="L6"/>
  <c r="L7"/>
  <c r="L8"/>
  <c r="L9"/>
  <c r="L10"/>
  <c r="L11"/>
  <c r="F8" i="24" s="1"/>
  <c r="L12" i="16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A23" l="1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"/>
  <c r="A7"/>
  <c r="A8"/>
  <c r="A9"/>
  <c r="A10"/>
  <c r="A11"/>
  <c r="A12"/>
  <c r="A13"/>
  <c r="A14"/>
  <c r="A15"/>
  <c r="A16"/>
  <c r="A17"/>
  <c r="A18"/>
  <c r="A19"/>
  <c r="A20"/>
  <c r="A21"/>
  <c r="A22"/>
</calcChain>
</file>

<file path=xl/connections.xml><?xml version="1.0" encoding="utf-8"?>
<connections xmlns="http://schemas.openxmlformats.org/spreadsheetml/2006/main">
  <connection id="1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Meteora Ecommerce - FINAL AULA 5 - DESAFIO RESOLVIDO.xlsx!TB_Vendas_Hist" type="102" refreshedVersion="8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1"/>
        </x15:connection>
      </ext>
    </extLst>
  </connection>
  <connection id="4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5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6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<sst xmlns="http://schemas.openxmlformats.org/spreadsheetml/2006/main" count="1320" uniqueCount="184">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</sst>
</file>

<file path=xl/styles.xml><?xml version="1.0" encoding="utf-8"?>
<styleSheet xmlns="http://schemas.openxmlformats.org/spreadsheetml/2006/main">
  <numFmts count="4">
    <numFmt numFmtId="164" formatCode="_-&quot;R$&quot;\ * #,##0.00_-;\-&quot;R$&quot;\ * #,##0.00_-;_-&quot;R$&quot;\ * &quot;-&quot;??_-;_-@_-"/>
    <numFmt numFmtId="165" formatCode="_-&quot;$&quot;\ * #,##0.00_-;\-&quot;$&quot;\ * #,##0.00_-;_-&quot;$&quot;\ * &quot;-&quot;??_-;_-@_-"/>
    <numFmt numFmtId="166" formatCode="_-[$R$-416]\ * #,##0.00_-;\-[$R$-416]\ * #,##0.00_-;_-[$R$-416]\ * &quot;-&quot;??_-;_-@_-"/>
    <numFmt numFmtId="167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6" fontId="0" fillId="0" borderId="0" xfId="0" applyNumberFormat="1" applyAlignment="1">
      <alignment horizontal="center"/>
    </xf>
    <xf numFmtId="16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6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6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6" fontId="27" fillId="0" borderId="0" xfId="0" applyNumberFormat="1" applyFont="1"/>
    <xf numFmtId="166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6" fontId="10" fillId="0" borderId="8" xfId="4" applyNumberFormat="1" applyFont="1" applyBorder="1" applyAlignment="1">
      <alignment horizontal="center"/>
    </xf>
    <xf numFmtId="166" fontId="10" fillId="0" borderId="9" xfId="4" applyNumberFormat="1" applyFont="1" applyBorder="1" applyAlignment="1">
      <alignment horizontal="center"/>
    </xf>
    <xf numFmtId="166" fontId="10" fillId="0" borderId="10" xfId="4" applyNumberFormat="1" applyFont="1" applyBorder="1" applyAlignment="1">
      <alignment horizontal="center"/>
    </xf>
    <xf numFmtId="166" fontId="10" fillId="0" borderId="11" xfId="4" applyNumberFormat="1" applyFont="1" applyBorder="1" applyAlignment="1">
      <alignment horizontal="center"/>
    </xf>
    <xf numFmtId="166" fontId="10" fillId="0" borderId="0" xfId="4" applyNumberFormat="1" applyFont="1" applyBorder="1" applyAlignment="1">
      <alignment horizontal="center"/>
    </xf>
    <xf numFmtId="166" fontId="10" fillId="0" borderId="12" xfId="4" applyNumberFormat="1" applyFont="1" applyBorder="1" applyAlignment="1">
      <alignment horizontal="center"/>
    </xf>
    <xf numFmtId="166" fontId="10" fillId="0" borderId="13" xfId="4" applyNumberFormat="1" applyFont="1" applyBorder="1" applyAlignment="1">
      <alignment horizontal="center"/>
    </xf>
    <xf numFmtId="166" fontId="10" fillId="0" borderId="14" xfId="4" applyNumberFormat="1" applyFont="1" applyBorder="1" applyAlignment="1">
      <alignment horizontal="center"/>
    </xf>
    <xf numFmtId="166" fontId="10" fillId="0" borderId="15" xfId="4" applyNumberFormat="1" applyFont="1" applyBorder="1" applyAlignment="1">
      <alignment horizontal="center"/>
    </xf>
  </cellXfs>
  <cellStyles count="7">
    <cellStyle name="Cabeçalho Meteora" xfId="3"/>
    <cellStyle name="Ênfase4" xfId="1" builtinId="41" customBuiltin="1"/>
    <cellStyle name="Hyperlink" xfId="6" builtinId="8"/>
    <cellStyle name="Moeda" xfId="4" builtinId="4"/>
    <cellStyle name="Normal" xfId="0" builtinId="0"/>
    <cellStyle name="Porcentagem" xfId="5" builtinId="5"/>
    <cellStyle name="Título Meteora" xfId="2"/>
  </cellStyles>
  <dxfs count="31">
    <dxf>
      <alignment horizontal="center"/>
    </dxf>
    <dxf>
      <alignment horizontal="center"/>
    </dxf>
    <dxf>
      <alignment horizontal="center"/>
    </dxf>
    <dxf>
      <numFmt numFmtId="166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bottom" textRotation="0" wrapText="0" indent="0" relativeIndent="255" justifyLastLine="0" shrinkToFit="0" readingOrder="0"/>
    </dxf>
    <dxf>
      <numFmt numFmtId="166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alignment horizontal="center" vertical="bottom" textRotation="0" wrapText="0" indent="0" relativeIndent="255" justifyLastLine="0" shrinkToFit="0" readingOrder="0"/>
    </dxf>
    <dxf>
      <numFmt numFmtId="13" formatCode="0%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166" formatCode="_-[$R$-416]\ * #,##0.00_-;\-[$R$-416]\ * #,##0.00_-;_-[$R$-416]\ * &quot;-&quot;??_-;_-@_-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1" formatCode="0"/>
      <alignment horizontal="center" vertical="bottom" textRotation="0" wrapText="0" indent="0" relativeIndent="255" justifyLastLine="0" shrinkToFit="0" readingOrder="0"/>
    </dxf>
    <dxf>
      <numFmt numFmtId="1" formatCode="0"/>
      <alignment horizontal="center" vertical="bottom" textRotation="0" wrapText="0" indent="0" relativeIndent="255" justifyLastLine="0" shrinkToFit="0" readingOrder="0"/>
    </dxf>
    <dxf>
      <numFmt numFmtId="19" formatCode="dd/mm/yyyy"/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6" formatCode="_-[$R$-416]\ * #,##0.00_-;\-[$R$-416]\ * #,##0.00_-;_-[$R$-416]\ * &quot;-&quot;??_-;_-@_-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50" Type="http://schemas.openxmlformats.org/officeDocument/2006/relationships/customXml" Target="../customXml/item20.xml"/><Relationship Id="rId55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59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29" Type="http://schemas.openxmlformats.org/officeDocument/2006/relationships/sheetMetadata" Target="metadata.xml"/><Relationship Id="rId41" Type="http://schemas.openxmlformats.org/officeDocument/2006/relationships/customXml" Target="../customXml/item11.xml"/><Relationship Id="rId54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3" Type="http://schemas.openxmlformats.org/officeDocument/2006/relationships/customXml" Target="../customXml/item2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2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57" Type="http://schemas.openxmlformats.org/officeDocument/2006/relationships/customXml" Target="../customXml/item2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1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56" Type="http://schemas.openxmlformats.org/officeDocument/2006/relationships/customXml" Target="../customXml/item2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[Dashboard_vendas_hist.xlsm]DN_Vendas!TBDN_Vendas</c:name>
    <c:fmtId val="1"/>
  </c:pivotSource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/>
        <c:gapWidth val="219"/>
        <c:axId val="128136704"/>
        <c:axId val="128138240"/>
      </c:barChart>
      <c:lineChart>
        <c:grouping val="standard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/>
        <c:marker val="1"/>
        <c:axId val="128170240"/>
        <c:axId val="128168704"/>
      </c:lineChart>
      <c:catAx>
        <c:axId val="12813670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138240"/>
        <c:crosses val="autoZero"/>
        <c:auto val="1"/>
        <c:lblAlgn val="ctr"/>
        <c:lblOffset val="100"/>
      </c:catAx>
      <c:valAx>
        <c:axId val="1281382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136704"/>
        <c:crosses val="autoZero"/>
        <c:crossBetween val="between"/>
      </c:valAx>
      <c:valAx>
        <c:axId val="128168704"/>
        <c:scaling>
          <c:orientation val="minMax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170240"/>
        <c:crosses val="max"/>
        <c:crossBetween val="between"/>
      </c:valAx>
      <c:catAx>
        <c:axId val="128170240"/>
        <c:scaling>
          <c:orientation val="minMax"/>
        </c:scaling>
        <c:delete val="1"/>
        <c:axPos val="b"/>
        <c:numFmt formatCode="General" sourceLinked="1"/>
        <c:tickLblPos val="nextTo"/>
        <c:crossAx val="128168704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[Dashboard_vendas_hist.xlsm]DN_Vendedores!TBDN_Vendedores</c:name>
    <c:fmtId val="1"/>
  </c:pivotSource>
  <c:chart>
    <c:autoTitleDeleted val="1"/>
    <c:pivotFmts>
      <c:pivotFmt>
        <c:idx val="0"/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-&quot;R$&quot;* #,##0.00_-;\-&quot;R$&quot;* #,##0.00_-;_-&quot;R$&quot;* &quot;-&quot;??_-;_-@_-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numFmt formatCode="_-&quot;R$&quot;* #,##0.00_-;\-&quot;R$&quot;* #,##0.00_-;_-&quot;R$&quot;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showVal val="1"/>
        </c:dLbls>
        <c:gapWidth val="65"/>
        <c:axId val="174221568"/>
        <c:axId val="174243840"/>
      </c:barChart>
      <c:catAx>
        <c:axId val="17422156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243840"/>
        <c:crosses val="autoZero"/>
        <c:auto val="1"/>
        <c:lblAlgn val="ctr"/>
        <c:lblOffset val="100"/>
      </c:catAx>
      <c:valAx>
        <c:axId val="17424384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tickLblPos val="nextTo"/>
        <c:crossAx val="1742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[Dashboard_vendas_hist.xlsm]DN_Desafio Vendas_Hist!Tabela dinâmica1</c:name>
    <c:fmtId val="1"/>
  </c:pivotSource>
  <c:chart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2E-2"/>
              <c:y val="-0.15764810220640232"/>
            </c:manualLayout>
          </c:layout>
          <c:dLblPos val="r"/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2-523E-4919-AAEB-0D0CCCB118F5}"/>
            </c:ext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95E-2"/>
              <c:y val="-0.1652584522825058"/>
            </c:manualLayout>
          </c:layout>
          <c:dLblPos val="r"/>
          <c:showVal val="1"/>
          <c:extLst xmlns:c16r2="http://schemas.microsoft.com/office/drawing/2015/06/chart">
            <c:ext xmlns:c15="http://schemas.microsoft.com/office/drawing/2012/chart" uri="{CE6537A1-D6FC-4f65-9D91-7224C49458BB}"/>
            <c:ext xmlns:c16="http://schemas.microsoft.com/office/drawing/2014/chart" uri="{C3380CC4-5D6E-409C-BE32-E72D297353CC}">
              <c16:uniqueId val="{00000003-523E-4919-AAEB-0D0CCCB118F5}"/>
            </c:ext>
          </c:extLst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_-"R$"\ * #,##0.00_-;\-"R$"\ * #,##0.00_-;_-"R$"\ * "-"??_-;_-@_-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/>
        <c:gapWidth val="219"/>
        <c:overlap val="-27"/>
        <c:axId val="174731264"/>
        <c:axId val="174732800"/>
      </c:barChart>
      <c:lineChart>
        <c:grouping val="standard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extLst xmlns:c16r2="http://schemas.microsoft.com/office/drawing/2015/06/chart"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2E-2"/>
                  <c:y val="-0.15764810220640232"/>
                </c:manualLayout>
              </c:layout>
              <c:dLblPos val="r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395E-2"/>
                  <c:y val="-0.1652584522825058"/>
                </c:manualLayout>
              </c:layout>
              <c:dLblPos val="r"/>
              <c:showVal val="1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Val val="1"/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/>
        <c:marker val="1"/>
        <c:axId val="174752512"/>
        <c:axId val="174734336"/>
      </c:lineChart>
      <c:catAx>
        <c:axId val="1747312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32800"/>
        <c:crosses val="autoZero"/>
        <c:auto val="1"/>
        <c:lblAlgn val="ctr"/>
        <c:lblOffset val="100"/>
      </c:catAx>
      <c:valAx>
        <c:axId val="1747328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31264"/>
        <c:crosses val="autoZero"/>
        <c:crossBetween val="between"/>
      </c:valAx>
      <c:valAx>
        <c:axId val="174734336"/>
        <c:scaling>
          <c:orientation val="minMax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752512"/>
        <c:crosses val="max"/>
        <c:crossBetween val="between"/>
      </c:valAx>
      <c:catAx>
        <c:axId val="174752512"/>
        <c:scaling>
          <c:orientation val="minMax"/>
        </c:scaling>
        <c:delete val="1"/>
        <c:axPos val="b"/>
        <c:numFmt formatCode="General" sourceLinked="1"/>
        <c:tickLblPos val="nextTo"/>
        <c:crossAx val="174734336"/>
        <c:crosses val="autoZero"/>
        <c:auto val="1"/>
        <c:lblAlgn val="ctr"/>
        <c:lblOffset val="100"/>
      </c:cat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[Dashboard_vendas_hist.xlsm]DN_Desafio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Val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_-"R$"\ * #,##0.00_-;\-"R$"\ * #,##0.00_-;_-"R$"\ * "-"??_-;_-@_-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showVal val="1"/>
        </c:dLbls>
        <c:gapWidth val="65"/>
        <c:axId val="175114112"/>
        <c:axId val="175115648"/>
      </c:barChart>
      <c:catAx>
        <c:axId val="175114112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115648"/>
        <c:crosses val="autoZero"/>
        <c:auto val="1"/>
        <c:lblAlgn val="ctr"/>
        <c:lblOffset val="100"/>
      </c:catAx>
      <c:valAx>
        <c:axId val="175115648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R$&quot;\ * #,##0.00_-;\-&quot;R$&quot;\ * #,##0.00_-;_-&quot;R$&quot;\ * &quot;-&quot;??_-;_-@_-" sourceLinked="1"/>
        <c:majorTickMark val="none"/>
        <c:tickLblPos val="nextTo"/>
        <c:crossAx val="17511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Percent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xdr:sp macro="" textlink="">
      <xdr:nvSpPr>
        <xdr:cNvPr id="2" name="Retângulo 1"/>
        <xdr:cNvSpPr>
          <a:spLocks noTextEdit="1"/>
        </xdr:cNvSpPr>
      </xdr:nvSpPr>
      <xdr:spPr>
        <a:xfrm>
          <a:off x="200024" y="104774"/>
          <a:ext cx="3724276" cy="96202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xdr:sp macro="" textlink="">
      <xdr:nvSpPr>
        <xdr:cNvPr id="5" name="Retângulo 4"/>
        <xdr:cNvSpPr>
          <a:spLocks noTextEdit="1"/>
        </xdr:cNvSpPr>
      </xdr:nvSpPr>
      <xdr:spPr>
        <a:xfrm>
          <a:off x="3162300" y="91440"/>
          <a:ext cx="2240280" cy="67056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xdr:sp macro="" textlink="">
      <xdr:nvSpPr>
        <xdr:cNvPr id="6" name="Retângulo 5"/>
        <xdr:cNvSpPr>
          <a:spLocks noTextEdit="1"/>
        </xdr:cNvSpPr>
      </xdr:nvSpPr>
      <xdr:spPr>
        <a:xfrm>
          <a:off x="5471160" y="91440"/>
          <a:ext cx="5455920" cy="670560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pt-BR" sz="1100"/>
            <a:t>Esta forma representa uma segmentação de dados. Segmentações de dados têm suporte no Excel 2010 ou versões posteriores.\Se a forma tiver sido modificada em uma versão anterior do Excel, ou se a pasta de trabalho tiver sido salva no Excel 2003 ou versões anteriores, a segmentação de dados não poderá ser usada.</a:t>
          </a:r>
        </a:p>
      </xdr:txBody>
    </xdr:sp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Samantha" refreshedDate="45356.577825694447" backgroundQuery="1" createdVersion="8" refreshedVersion="8" minRefreshableVersion="3" recordCount="0" supportSubquery="1" supportAdvancedDrill="1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Samantha" refreshedDate="45356.577826851855" createdVersion="5" refreshedVersion="8" minRefreshableVersion="3" recordCount="0" supportSubquery="1" supportAdvancedDrill="1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Samantha" refreshedDate="45356.577828472226" backgroundQuery="1" createdVersion="8" refreshedVersion="8" minRefreshableVersion="3" recordCount="0" supportSubquery="1" supportAdvancedDrill="1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Samantha" refreshedDate="45356.577831712966" backgroundQuery="1" createdVersion="8" refreshedVersion="8" minRefreshableVersion="3" recordCount="0" supportSubquery="1" supportAdvancedDrill="1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Samantha" refreshedDate="45356.57783263889" backgroundQuery="1" createdVersion="8" refreshedVersion="8" minRefreshableVersion="3" recordCount="0" supportSubquery="1" supportAdvancedDrill="1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Samantha" refreshedDate="45356.577834027776" backgroundQuery="1" createdVersion="8" refreshedVersion="8" minRefreshableVersion="3" recordCount="0" supportSubquery="1" supportAdvancedDrill="1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 oneField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 oneField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Samantha" refreshedDate="45356.577834374999" createdVersion="8" refreshedVersion="8" minRefreshableVersion="3" recordCount="60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amantha" refreshedDate="45356.577823958331" backgroundQuery="1" createdVersion="3" refreshedVersion="8" minRefreshableVersion="3" recordCount="0" supportSubquery="1" supportAdvancedDrill="1" xr:uid="{E38D779F-DBDB-4AFA-9689-38B22960739B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5355323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BDN_Produtos" cacheId="1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6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3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11" dataPosition="0" applyNumberFormats="0" applyBorderFormats="0" applyFontFormats="0" applyPatternFormats="0" applyAlignmentFormats="0" applyWidthHeightFormats="1" dataCaption="Valores" tag="c3573571-e117-4642-8ccd-b311d841ec66" updatedVersion="8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6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TBDN_Vendas" cacheId="10" applyNumberFormats="0" applyBorderFormats="0" applyFontFormats="0" applyPatternFormats="0" applyAlignmentFormats="0" applyWidthHeightFormats="1" dataCaption="Valores" tag="bc3dc771-d3ba-40d4-8642-502c32103ea2" updatedVersion="8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6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TBDN_Vendedores" cacheId="12" applyNumberFormats="0" applyBorderFormats="0" applyFontFormats="0" applyPatternFormats="0" applyAlignmentFormats="0" applyWidthHeightFormats="1" dataCaption="Valores" tag="dcf589ae-5672-4650-a21a-b4d454948888" updatedVersion="8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6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name="Tabela dinâmica6" cacheId="8" applyNumberFormats="0" applyBorderFormats="0" applyFontFormats="0" applyPatternFormats="0" applyAlignmentFormats="0" applyWidthHeightFormats="1" dataCaption="Valores" tag="5175d356-c610-499f-8a03-ecac2ba9fca0" updatedVersion="8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16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name="Tabela dinâmica4" cacheId="9" applyNumberFormats="0" applyBorderFormats="0" applyFontFormats="0" applyPatternFormats="0" applyAlignmentFormats="0" applyWidthHeightFormats="1" dataCaption="Valores" tag="b28019d9-a326-485f-9730-7abd77599ba1" updatedVersion="8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16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tag="65d66300-0cfb-4913-ab39-f6807e6b0016" updatedVersion="8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16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453553233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453553233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B_Produtos" displayName="TB_Produtos" ref="B6:G66" totalsRowShown="0" headerRowDxfId="30">
  <autoFilter ref="B6:G6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Código" dataDxfId="29"/>
    <tableColumn id="2" name="Produtos"/>
    <tableColumn id="3" name="Tamanho" dataDxfId="28"/>
    <tableColumn id="4" name="Categoria"/>
    <tableColumn id="6" name="Estoque" dataDxfId="27"/>
    <tableColumn id="5" name="Preço Unitário" dataDxfId="2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B_Vendas" displayName="TB_Vendas" ref="A4:M86" totalsRowShown="0" headerRowDxfId="24" dataDxfId="23" headerRowCellStyle="Cabeçalho Meteora">
  <autoFilter ref="A4:M86"/>
  <tableColumns count="13">
    <tableColumn id="7" name="Nº" dataDxfId="22">
      <calculatedColumnFormula>MONTH(TB_Vendas[[#This Row],[Data]])</calculatedColumnFormula>
    </tableColumn>
    <tableColumn id="1" name="Data" dataDxfId="21"/>
    <tableColumn id="12" name="Código" dataDxfId="20"/>
    <tableColumn id="16" name="Categoria" dataDxfId="19">
      <calculatedColumnFormula>_xlfn.XLOOKUP(TB_Vendas[[#This Row],[Código]],TB_Produtos[Código],TB_Produtos[Categoria])</calculatedColumnFormula>
    </tableColumn>
    <tableColumn id="5" name="Qtd" dataDxfId="18"/>
    <tableColumn id="9" name="Preço Unitário" dataDxfId="17">
      <calculatedColumnFormula>VLOOKUP(TB_Vendas[[#This Row],[Código]],Produtos!$B$6:$G$66,6,0)</calculatedColumnFormula>
    </tableColumn>
    <tableColumn id="18" name="Indice" dataDxfId="16">
      <calculatedColumnFormula>_xlfn.XMATCH(TB_Vendas[[#This Row],[Categoria]],Desc_Categorias,0)</calculatedColumnFormula>
    </tableColumn>
    <tableColumn id="17" name="Desconto &#10;(Passo a Passo)" dataDxfId="15" dataCellStyle="Porcentagem">
      <calculatedColumnFormula>VLOOKUP(TB_Vendas[[#This Row],[Qtd]],Desc_TabelaToda,TB_Vendas[[#This Row],[Indice]],TRUE)</calculatedColumnFormula>
    </tableColumn>
    <tableColumn id="2" name="Desconto &#10;(Diretão)" dataDxfId="1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name="Desconto &#10;(Vendedor)" dataDxfId="13" dataCellStyle="Porcentagem">
      <calculatedColumnFormula>_xlfn.XLOOKUP(TB_Vendas[[#This Row],[Vendedor]],Vendedores!$A$5:$A$9,Vendedores!$D$5:$D$9)</calculatedColumnFormula>
    </tableColumn>
    <tableColumn id="4" name="Desconto Final" dataDxfId="12" dataCellStyle="Porcentagem"/>
    <tableColumn id="6" name="Total" dataDxfId="11">
      <calculatedColumnFormula>TB_Vendas[[#This Row],[Preço Unitário]]*TB_Vendas[[#This Row],[Qtd]]</calculatedColumnFormula>
    </tableColumn>
    <tableColumn id="8" name="Vendedor" dataDxfId="1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TB_Vendas_Hist" displayName="TB_Vendas_Hist" ref="A1:H253" tableType="queryTable" totalsRowShown="0">
  <autoFilter ref="A1:H253"/>
  <tableColumns count="8">
    <tableColumn id="1" uniqueName="1" name="Data" queryTableFieldId="1" dataDxfId="9"/>
    <tableColumn id="2" uniqueName="2" name="Código" queryTableFieldId="2" dataDxfId="8"/>
    <tableColumn id="3" uniqueName="3" name="Categoria" queryTableFieldId="3" dataDxfId="7"/>
    <tableColumn id="4" uniqueName="4" name="Qtd" queryTableFieldId="4"/>
    <tableColumn id="5" uniqueName="5" name="Preço Unitário" queryTableFieldId="5"/>
    <tableColumn id="6" uniqueName="6" name="Desconto Final" queryTableFieldId="6"/>
    <tableColumn id="7" uniqueName="7" name="Total" queryTableFieldId="7"/>
    <tableColumn id="8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</row>
    <row r="2" spans="1:12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</row>
    <row r="3" spans="1:1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>
      <c r="A6" s="78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I66"/>
  <sheetViews>
    <sheetView showGridLines="0" zoomScale="120" zoomScaleNormal="120" workbookViewId="0">
      <pane ySplit="1" topLeftCell="A2" activePane="bottomLeft" state="frozen"/>
      <selection pane="bottomLeft" activeCell="C66" sqref="C66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5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79" t="s">
        <v>82</v>
      </c>
      <c r="C1" s="79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18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4"/>
  <dimension ref="A1:M86"/>
  <sheetViews>
    <sheetView topLeftCell="B1" workbookViewId="0">
      <pane ySplit="1" topLeftCell="A2" activePane="bottomLeft" state="frozen"/>
      <selection activeCell="B1" sqref="B1"/>
      <selection pane="bottomLeft" activeCell="B7" sqref="B7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1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e">
        <f ca="1">_xlfn.XLOOKUP(TB_Vendas[[#This Row],[Código]],TB_Produtos[Código],TB_Produtos[Categoria])</f>
        <v>#NAME?</v>
      </c>
      <c r="E5" s="1">
        <v>1</v>
      </c>
      <c r="F5" s="7">
        <f>VLOOKUP(TB_Vendas[[#This Row],[Código]],Produtos!$B$6:$G$66,6,0)</f>
        <v>39.9</v>
      </c>
      <c r="G5" s="1" t="e">
        <f ca="1">_xlfn.XMATCH(TB_Vendas[[#This Row],[Categoria]],Desc_Categorias,0)</f>
        <v>#NAME?</v>
      </c>
      <c r="H5" s="43" t="e">
        <f ca="1">VLOOKUP(TB_Vendas[[#This Row],[Qtd]],Desc_TabelaToda,TB_Vendas[[#This Row],[Indice]],TRUE)</f>
        <v>#REF!</v>
      </c>
      <c r="I5" s="43" t="e" cm="1">
        <f t="array" aca="1" ref="I5" ca="1">INDEX(Desc_TabelaToda,MATCH(TB_Vendas[[#This Row],[Qtd]],Desc_Quantidades,1),MATCH(_xlfn.XLOOKUP(TB_Vendas[[#This Row],[Código]],TB_Produtos[[#All],[Código]],TB_Produtos[[#All],[Categoria]]),Desc_Categorias,0))</f>
        <v>#NAME?</v>
      </c>
      <c r="J5" s="43" t="e">
        <f ca="1">_xlfn.XLOOKUP(TB_Vendas[[#This Row],[Vendedor]],Vendedores!$A$5:$A$9,Vendedores!$D$5:$D$9)</f>
        <v>#NAME?</v>
      </c>
      <c r="K5" s="43" t="e">
        <f>IF(#REF!&lt;=#REF!,#REF!,#REF!)</f>
        <v>#REF!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e">
        <f ca="1">_xlfn.XLOOKUP(TB_Vendas[[#This Row],[Código]],TB_Produtos[Código],TB_Produtos[Categoria])</f>
        <v>#NAME?</v>
      </c>
      <c r="E6" s="1">
        <v>1</v>
      </c>
      <c r="F6" s="7">
        <f>VLOOKUP(TB_Vendas[[#This Row],[Código]],Produtos!$B$6:$G$66,6,0)</f>
        <v>259.89999999999998</v>
      </c>
      <c r="G6" s="1" t="e">
        <f ca="1">_xlfn.XMATCH(TB_Vendas[[#This Row],[Categoria]],Desc_Categorias,0)</f>
        <v>#NAME?</v>
      </c>
      <c r="H6" s="43" t="e">
        <f ca="1">VLOOKUP(TB_Vendas[[#This Row],[Qtd]],Desc_TabelaToda,TB_Vendas[[#This Row],[Indice]],TRUE)</f>
        <v>#REF!</v>
      </c>
      <c r="I6" s="43" t="e" cm="1">
        <f t="array" aca="1" ref="I6" ca="1">INDEX(Desc_TabelaToda,MATCH(TB_Vendas[[#This Row],[Qtd]],Desc_Quantidades,1),MATCH(_xlfn.XLOOKUP(TB_Vendas[[#This Row],[Código]],TB_Produtos[[#All],[Código]],TB_Produtos[[#All],[Categoria]]),Desc_Categorias,0))</f>
        <v>#NAME?</v>
      </c>
      <c r="J6" s="43" t="e">
        <f ca="1">_xlfn.XLOOKUP(TB_Vendas[[#This Row],[Vendedor]],Vendedores!$A$5:$A$9,Vendedores!$D$5:$D$9)</f>
        <v>#NAME?</v>
      </c>
      <c r="K6" s="43" t="e">
        <f>IF(#REF!&lt;=#REF!,#REF!,#REF!)</f>
        <v>#REF!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e">
        <f ca="1">_xlfn.XLOOKUP(TB_Vendas[[#This Row],[Código]],TB_Produtos[Código],TB_Produtos[Categoria])</f>
        <v>#NAME?</v>
      </c>
      <c r="E7" s="1">
        <v>2</v>
      </c>
      <c r="F7" s="7">
        <f>VLOOKUP(TB_Vendas[[#This Row],[Código]],Produtos!$B$6:$G$66,6,0)</f>
        <v>32.9</v>
      </c>
      <c r="G7" s="1" t="e">
        <f ca="1">_xlfn.XMATCH(TB_Vendas[[#This Row],[Categoria]],Desc_Categorias,0)</f>
        <v>#NAME?</v>
      </c>
      <c r="H7" s="43" t="e">
        <f ca="1">VLOOKUP(TB_Vendas[[#This Row],[Qtd]],Desc_TabelaToda,TB_Vendas[[#This Row],[Indice]],TRUE)</f>
        <v>#REF!</v>
      </c>
      <c r="I7" s="43" t="e" cm="1">
        <f t="array" aca="1" ref="I7" ca="1">INDEX(Desc_TabelaToda,MATCH(TB_Vendas[[#This Row],[Qtd]],Desc_Quantidades,1),MATCH(_xlfn.XLOOKUP(TB_Vendas[[#This Row],[Código]],TB_Produtos[[#All],[Código]],TB_Produtos[[#All],[Categoria]]),Desc_Categorias,0))</f>
        <v>#NAME?</v>
      </c>
      <c r="J7" s="43" t="e">
        <f ca="1">_xlfn.XLOOKUP(TB_Vendas[[#This Row],[Vendedor]],Vendedores!$A$5:$A$9,Vendedores!$D$5:$D$9)</f>
        <v>#NAME?</v>
      </c>
      <c r="K7" s="43" t="e">
        <f>IF(#REF!&lt;=#REF!,#REF!,#REF!)</f>
        <v>#REF!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e">
        <f ca="1">_xlfn.XLOOKUP(TB_Vendas[[#This Row],[Código]],TB_Produtos[Código],TB_Produtos[Categoria])</f>
        <v>#NAME?</v>
      </c>
      <c r="E8" s="1">
        <v>1</v>
      </c>
      <c r="F8" s="7">
        <f>VLOOKUP(TB_Vendas[[#This Row],[Código]],Produtos!$B$6:$G$66,6,0)</f>
        <v>46.9</v>
      </c>
      <c r="G8" s="1" t="e">
        <f ca="1">_xlfn.XMATCH(TB_Vendas[[#This Row],[Categoria]],Desc_Categorias,0)</f>
        <v>#NAME?</v>
      </c>
      <c r="H8" s="43" t="e">
        <f ca="1">VLOOKUP(TB_Vendas[[#This Row],[Qtd]],Desc_TabelaToda,TB_Vendas[[#This Row],[Indice]],TRUE)</f>
        <v>#REF!</v>
      </c>
      <c r="I8" s="43" t="e" cm="1">
        <f t="array" aca="1" ref="I8" ca="1">INDEX(Desc_TabelaToda,MATCH(TB_Vendas[[#This Row],[Qtd]],Desc_Quantidades,1),MATCH(_xlfn.XLOOKUP(TB_Vendas[[#This Row],[Código]],TB_Produtos[[#All],[Código]],TB_Produtos[[#All],[Categoria]]),Desc_Categorias,0))</f>
        <v>#NAME?</v>
      </c>
      <c r="J8" s="43" t="e">
        <f ca="1">_xlfn.XLOOKUP(TB_Vendas[[#This Row],[Vendedor]],Vendedores!$A$5:$A$9,Vendedores!$D$5:$D$9)</f>
        <v>#NAME?</v>
      </c>
      <c r="K8" s="43" t="e">
        <f>IF(#REF!&lt;=#REF!,#REF!,#REF!)</f>
        <v>#REF!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e">
        <f ca="1">_xlfn.XLOOKUP(TB_Vendas[[#This Row],[Código]],TB_Produtos[Código],TB_Produtos[Categoria])</f>
        <v>#NAME?</v>
      </c>
      <c r="E9" s="1">
        <v>1</v>
      </c>
      <c r="F9" s="7">
        <f>VLOOKUP(TB_Vendas[[#This Row],[Código]],Produtos!$B$6:$G$66,6,0)</f>
        <v>29.9</v>
      </c>
      <c r="G9" s="1" t="e">
        <f ca="1">_xlfn.XMATCH(TB_Vendas[[#This Row],[Categoria]],Desc_Categorias,0)</f>
        <v>#NAME?</v>
      </c>
      <c r="H9" s="43" t="e">
        <f ca="1">VLOOKUP(TB_Vendas[[#This Row],[Qtd]],Desc_TabelaToda,TB_Vendas[[#This Row],[Indice]],TRUE)</f>
        <v>#REF!</v>
      </c>
      <c r="I9" s="43" t="e" cm="1">
        <f t="array" aca="1" ref="I9" ca="1">INDEX(Desc_TabelaToda,MATCH(TB_Vendas[[#This Row],[Qtd]],Desc_Quantidades,1),MATCH(_xlfn.XLOOKUP(TB_Vendas[[#This Row],[Código]],TB_Produtos[[#All],[Código]],TB_Produtos[[#All],[Categoria]]),Desc_Categorias,0))</f>
        <v>#NAME?</v>
      </c>
      <c r="J9" s="43" t="e">
        <f ca="1">_xlfn.XLOOKUP(TB_Vendas[[#This Row],[Vendedor]],Vendedores!$A$5:$A$9,Vendedores!$D$5:$D$9)</f>
        <v>#NAME?</v>
      </c>
      <c r="K9" s="43" t="e">
        <f>IF(#REF!&lt;=#REF!,#REF!,#REF!)</f>
        <v>#REF!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e">
        <f ca="1">_xlfn.XLOOKUP(TB_Vendas[[#This Row],[Código]],TB_Produtos[Código],TB_Produtos[Categoria])</f>
        <v>#NAME?</v>
      </c>
      <c r="E10" s="1">
        <v>1</v>
      </c>
      <c r="F10" s="7">
        <f>VLOOKUP(TB_Vendas[[#This Row],[Código]],Produtos!$B$6:$G$66,6,0)</f>
        <v>299.89999999999998</v>
      </c>
      <c r="G10" s="1" t="e">
        <f ca="1">_xlfn.XMATCH(TB_Vendas[[#This Row],[Categoria]],Desc_Categorias,0)</f>
        <v>#NAME?</v>
      </c>
      <c r="H10" s="43" t="e">
        <f ca="1">VLOOKUP(TB_Vendas[[#This Row],[Qtd]],Desc_TabelaToda,TB_Vendas[[#This Row],[Indice]],TRUE)</f>
        <v>#REF!</v>
      </c>
      <c r="I10" s="43" t="e" cm="1">
        <f t="array" aca="1" ref="I10" ca="1">INDEX(Desc_TabelaToda,MATCH(TB_Vendas[[#This Row],[Qtd]],Desc_Quantidades,1),MATCH(_xlfn.XLOOKUP(TB_Vendas[[#This Row],[Código]],TB_Produtos[[#All],[Código]],TB_Produtos[[#All],[Categoria]]),Desc_Categorias,0))</f>
        <v>#NAME?</v>
      </c>
      <c r="J10" s="43" t="e">
        <f ca="1">_xlfn.XLOOKUP(TB_Vendas[[#This Row],[Vendedor]],Vendedores!$A$5:$A$9,Vendedores!$D$5:$D$9)</f>
        <v>#NAME?</v>
      </c>
      <c r="K10" s="43" t="e">
        <f>IF(#REF!&lt;=#REF!,#REF!,#REF!)</f>
        <v>#REF!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e">
        <f ca="1">_xlfn.XLOOKUP(TB_Vendas[[#This Row],[Código]],TB_Produtos[Código],TB_Produtos[Categoria])</f>
        <v>#NAME?</v>
      </c>
      <c r="E11" s="1">
        <v>1</v>
      </c>
      <c r="F11" s="7">
        <f>VLOOKUP(TB_Vendas[[#This Row],[Código]],Produtos!$B$6:$G$66,6,0)</f>
        <v>146</v>
      </c>
      <c r="G11" s="1" t="e">
        <f ca="1">_xlfn.XMATCH(TB_Vendas[[#This Row],[Categoria]],Desc_Categorias,0)</f>
        <v>#NAME?</v>
      </c>
      <c r="H11" s="43" t="e">
        <f ca="1">VLOOKUP(TB_Vendas[[#This Row],[Qtd]],Desc_TabelaToda,TB_Vendas[[#This Row],[Indice]],TRUE)</f>
        <v>#REF!</v>
      </c>
      <c r="I11" s="43" t="e" cm="1">
        <f t="array" aca="1" ref="I11" ca="1">INDEX(Desc_TabelaToda,MATCH(TB_Vendas[[#This Row],[Qtd]],Desc_Quantidades,1),MATCH(_xlfn.XLOOKUP(TB_Vendas[[#This Row],[Código]],TB_Produtos[[#All],[Código]],TB_Produtos[[#All],[Categoria]]),Desc_Categorias,0))</f>
        <v>#NAME?</v>
      </c>
      <c r="J11" s="43" t="e">
        <f ca="1">_xlfn.XLOOKUP(TB_Vendas[[#This Row],[Vendedor]],Vendedores!$A$5:$A$9,Vendedores!$D$5:$D$9)</f>
        <v>#NAME?</v>
      </c>
      <c r="K11" s="43" t="e">
        <f>IF(#REF!&lt;=#REF!,#REF!,#REF!)</f>
        <v>#REF!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e">
        <f ca="1">_xlfn.XLOOKUP(TB_Vendas[[#This Row],[Código]],TB_Produtos[Código],TB_Produtos[Categoria])</f>
        <v>#NAME?</v>
      </c>
      <c r="E12" s="1">
        <v>2</v>
      </c>
      <c r="F12" s="7">
        <f>VLOOKUP(TB_Vendas[[#This Row],[Código]],Produtos!$B$6:$G$66,6,0)</f>
        <v>89.9</v>
      </c>
      <c r="G12" s="1" t="e">
        <f ca="1">_xlfn.XMATCH(TB_Vendas[[#This Row],[Categoria]],Desc_Categorias,0)</f>
        <v>#NAME?</v>
      </c>
      <c r="H12" s="43" t="e">
        <f ca="1">VLOOKUP(TB_Vendas[[#This Row],[Qtd]],Desc_TabelaToda,TB_Vendas[[#This Row],[Indice]],TRUE)</f>
        <v>#REF!</v>
      </c>
      <c r="I12" s="43" t="e" cm="1">
        <f t="array" aca="1" ref="I12" ca="1">INDEX(Desc_TabelaToda,MATCH(TB_Vendas[[#This Row],[Qtd]],Desc_Quantidades,1),MATCH(_xlfn.XLOOKUP(TB_Vendas[[#This Row],[Código]],TB_Produtos[[#All],[Código]],TB_Produtos[[#All],[Categoria]]),Desc_Categorias,0))</f>
        <v>#NAME?</v>
      </c>
      <c r="J12" s="43" t="e">
        <f ca="1">_xlfn.XLOOKUP(TB_Vendas[[#This Row],[Vendedor]],Vendedores!$A$5:$A$9,Vendedores!$D$5:$D$9)</f>
        <v>#NAME?</v>
      </c>
      <c r="K12" s="43" t="e">
        <f>IF(#REF!&lt;=#REF!,#REF!,#REF!)</f>
        <v>#REF!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e">
        <f ca="1">_xlfn.XLOOKUP(TB_Vendas[[#This Row],[Código]],TB_Produtos[Código],TB_Produtos[Categoria])</f>
        <v>#NAME?</v>
      </c>
      <c r="E13" s="1">
        <v>2</v>
      </c>
      <c r="F13" s="7">
        <f>VLOOKUP(TB_Vendas[[#This Row],[Código]],Produtos!$B$6:$G$66,6,0)</f>
        <v>250</v>
      </c>
      <c r="G13" s="1" t="e">
        <f ca="1">_xlfn.XMATCH(TB_Vendas[[#This Row],[Categoria]],Desc_Categorias,0)</f>
        <v>#NAME?</v>
      </c>
      <c r="H13" s="43" t="e">
        <f ca="1">VLOOKUP(TB_Vendas[[#This Row],[Qtd]],Desc_TabelaToda,TB_Vendas[[#This Row],[Indice]],TRUE)</f>
        <v>#REF!</v>
      </c>
      <c r="I13" s="43" t="e" cm="1">
        <f t="array" aca="1" ref="I13" ca="1">INDEX(Desc_TabelaToda,MATCH(TB_Vendas[[#This Row],[Qtd]],Desc_Quantidades,1),MATCH(_xlfn.XLOOKUP(TB_Vendas[[#This Row],[Código]],TB_Produtos[[#All],[Código]],TB_Produtos[[#All],[Categoria]]),Desc_Categorias,0))</f>
        <v>#NAME?</v>
      </c>
      <c r="J13" s="43" t="e">
        <f ca="1">_xlfn.XLOOKUP(TB_Vendas[[#This Row],[Vendedor]],Vendedores!$A$5:$A$9,Vendedores!$D$5:$D$9)</f>
        <v>#NAME?</v>
      </c>
      <c r="K13" s="43" t="e">
        <f>IF(#REF!&lt;=#REF!,#REF!,#REF!)</f>
        <v>#REF!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e">
        <f ca="1">_xlfn.XLOOKUP(TB_Vendas[[#This Row],[Código]],TB_Produtos[Código],TB_Produtos[Categoria])</f>
        <v>#NAME?</v>
      </c>
      <c r="E14" s="1">
        <v>1</v>
      </c>
      <c r="F14" s="7">
        <f>VLOOKUP(TB_Vendas[[#This Row],[Código]],Produtos!$B$6:$G$66,6,0)</f>
        <v>39.9</v>
      </c>
      <c r="G14" s="1" t="e">
        <f ca="1">_xlfn.XMATCH(TB_Vendas[[#This Row],[Categoria]],Desc_Categorias,0)</f>
        <v>#NAME?</v>
      </c>
      <c r="H14" s="43" t="e">
        <f ca="1">VLOOKUP(TB_Vendas[[#This Row],[Qtd]],Desc_TabelaToda,TB_Vendas[[#This Row],[Indice]],TRUE)</f>
        <v>#REF!</v>
      </c>
      <c r="I14" s="43" t="e" cm="1">
        <f t="array" aca="1" ref="I14" ca="1">INDEX(Desc_TabelaToda,MATCH(TB_Vendas[[#This Row],[Qtd]],Desc_Quantidades,1),MATCH(_xlfn.XLOOKUP(TB_Vendas[[#This Row],[Código]],TB_Produtos[[#All],[Código]],TB_Produtos[[#All],[Categoria]]),Desc_Categorias,0))</f>
        <v>#NAME?</v>
      </c>
      <c r="J14" s="43" t="e">
        <f ca="1">_xlfn.XLOOKUP(TB_Vendas[[#This Row],[Vendedor]],Vendedores!$A$5:$A$9,Vendedores!$D$5:$D$9)</f>
        <v>#NAME?</v>
      </c>
      <c r="K14" s="43" t="e">
        <f>IF(#REF!&lt;=#REF!,#REF!,#REF!)</f>
        <v>#REF!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e">
        <f ca="1">_xlfn.XLOOKUP(TB_Vendas[[#This Row],[Código]],TB_Produtos[Código],TB_Produtos[Categoria])</f>
        <v>#NAME?</v>
      </c>
      <c r="E15" s="1">
        <v>1</v>
      </c>
      <c r="F15" s="7">
        <f>VLOOKUP(TB_Vendas[[#This Row],[Código]],Produtos!$B$6:$G$66,6,0)</f>
        <v>142.9</v>
      </c>
      <c r="G15" s="1" t="e">
        <f ca="1">_xlfn.XMATCH(TB_Vendas[[#This Row],[Categoria]],Desc_Categorias,0)</f>
        <v>#NAME?</v>
      </c>
      <c r="H15" s="43" t="e">
        <f ca="1">VLOOKUP(TB_Vendas[[#This Row],[Qtd]],Desc_TabelaToda,TB_Vendas[[#This Row],[Indice]],TRUE)</f>
        <v>#REF!</v>
      </c>
      <c r="I15" s="43" t="e" cm="1">
        <f t="array" aca="1" ref="I15" ca="1">INDEX(Desc_TabelaToda,MATCH(TB_Vendas[[#This Row],[Qtd]],Desc_Quantidades,1),MATCH(_xlfn.XLOOKUP(TB_Vendas[[#This Row],[Código]],TB_Produtos[[#All],[Código]],TB_Produtos[[#All],[Categoria]]),Desc_Categorias,0))</f>
        <v>#NAME?</v>
      </c>
      <c r="J15" s="43" t="e">
        <f ca="1">_xlfn.XLOOKUP(TB_Vendas[[#This Row],[Vendedor]],Vendedores!$A$5:$A$9,Vendedores!$D$5:$D$9)</f>
        <v>#NAME?</v>
      </c>
      <c r="K15" s="43" t="e">
        <f>IF(#REF!&lt;=#REF!,#REF!,#REF!)</f>
        <v>#REF!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e">
        <f ca="1">_xlfn.XLOOKUP(TB_Vendas[[#This Row],[Código]],TB_Produtos[Código],TB_Produtos[Categoria])</f>
        <v>#NAME?</v>
      </c>
      <c r="E16" s="1">
        <v>1</v>
      </c>
      <c r="F16" s="7">
        <f>VLOOKUP(TB_Vendas[[#This Row],[Código]],Produtos!$B$6:$G$66,6,0)</f>
        <v>300</v>
      </c>
      <c r="G16" s="1" t="e">
        <f ca="1">_xlfn.XMATCH(TB_Vendas[[#This Row],[Categoria]],Desc_Categorias,0)</f>
        <v>#NAME?</v>
      </c>
      <c r="H16" s="43" t="e">
        <f ca="1">VLOOKUP(TB_Vendas[[#This Row],[Qtd]],Desc_TabelaToda,TB_Vendas[[#This Row],[Indice]],TRUE)</f>
        <v>#REF!</v>
      </c>
      <c r="I16" s="43" t="e" cm="1">
        <f t="array" aca="1" ref="I16" ca="1">INDEX(Desc_TabelaToda,MATCH(TB_Vendas[[#This Row],[Qtd]],Desc_Quantidades,1),MATCH(_xlfn.XLOOKUP(TB_Vendas[[#This Row],[Código]],TB_Produtos[[#All],[Código]],TB_Produtos[[#All],[Categoria]]),Desc_Categorias,0))</f>
        <v>#NAME?</v>
      </c>
      <c r="J16" s="43" t="e">
        <f ca="1">_xlfn.XLOOKUP(TB_Vendas[[#This Row],[Vendedor]],Vendedores!$A$5:$A$9,Vendedores!$D$5:$D$9)</f>
        <v>#NAME?</v>
      </c>
      <c r="K16" s="43" t="e">
        <f>IF(#REF!&lt;=#REF!,#REF!,#REF!)</f>
        <v>#REF!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e">
        <f ca="1">_xlfn.XLOOKUP(TB_Vendas[[#This Row],[Código]],TB_Produtos[Código],TB_Produtos[Categoria])</f>
        <v>#NAME?</v>
      </c>
      <c r="E17" s="1">
        <v>2</v>
      </c>
      <c r="F17" s="7">
        <f>VLOOKUP(TB_Vendas[[#This Row],[Código]],Produtos!$B$6:$G$66,6,0)</f>
        <v>289.89999999999998</v>
      </c>
      <c r="G17" s="1" t="e">
        <f ca="1">_xlfn.XMATCH(TB_Vendas[[#This Row],[Categoria]],Desc_Categorias,0)</f>
        <v>#NAME?</v>
      </c>
      <c r="H17" s="43" t="e">
        <f ca="1">VLOOKUP(TB_Vendas[[#This Row],[Qtd]],Desc_TabelaToda,TB_Vendas[[#This Row],[Indice]],TRUE)</f>
        <v>#REF!</v>
      </c>
      <c r="I17" s="43" t="e" cm="1">
        <f t="array" aca="1" ref="I17" ca="1">INDEX(Desc_TabelaToda,MATCH(TB_Vendas[[#This Row],[Qtd]],Desc_Quantidades,1),MATCH(_xlfn.XLOOKUP(TB_Vendas[[#This Row],[Código]],TB_Produtos[[#All],[Código]],TB_Produtos[[#All],[Categoria]]),Desc_Categorias,0))</f>
        <v>#NAME?</v>
      </c>
      <c r="J17" s="43" t="e">
        <f ca="1">_xlfn.XLOOKUP(TB_Vendas[[#This Row],[Vendedor]],Vendedores!$A$5:$A$9,Vendedores!$D$5:$D$9)</f>
        <v>#NAME?</v>
      </c>
      <c r="K17" s="43" t="e">
        <f>IF(#REF!&lt;=#REF!,#REF!,#REF!)</f>
        <v>#REF!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e">
        <f ca="1">_xlfn.XLOOKUP(TB_Vendas[[#This Row],[Código]],TB_Produtos[Código],TB_Produtos[Categoria])</f>
        <v>#NAME?</v>
      </c>
      <c r="E18" s="1">
        <v>1</v>
      </c>
      <c r="F18" s="7">
        <f>VLOOKUP(TB_Vendas[[#This Row],[Código]],Produtos!$B$6:$G$66,6,0)</f>
        <v>249.9</v>
      </c>
      <c r="G18" s="1" t="e">
        <f ca="1">_xlfn.XMATCH(TB_Vendas[[#This Row],[Categoria]],Desc_Categorias,0)</f>
        <v>#NAME?</v>
      </c>
      <c r="H18" s="43" t="e">
        <f ca="1">VLOOKUP(TB_Vendas[[#This Row],[Qtd]],Desc_TabelaToda,TB_Vendas[[#This Row],[Indice]],TRUE)</f>
        <v>#REF!</v>
      </c>
      <c r="I18" s="43" t="e" cm="1">
        <f t="array" aca="1" ref="I18" ca="1">INDEX(Desc_TabelaToda,MATCH(TB_Vendas[[#This Row],[Qtd]],Desc_Quantidades,1),MATCH(_xlfn.XLOOKUP(TB_Vendas[[#This Row],[Código]],TB_Produtos[[#All],[Código]],TB_Produtos[[#All],[Categoria]]),Desc_Categorias,0))</f>
        <v>#NAME?</v>
      </c>
      <c r="J18" s="43" t="e">
        <f ca="1">_xlfn.XLOOKUP(TB_Vendas[[#This Row],[Vendedor]],Vendedores!$A$5:$A$9,Vendedores!$D$5:$D$9)</f>
        <v>#NAME?</v>
      </c>
      <c r="K18" s="43" t="e">
        <f>IF(#REF!&lt;=#REF!,#REF!,#REF!)</f>
        <v>#REF!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e">
        <f ca="1">_xlfn.XLOOKUP(TB_Vendas[[#This Row],[Código]],TB_Produtos[Código],TB_Produtos[Categoria])</f>
        <v>#NAME?</v>
      </c>
      <c r="E19" s="1">
        <v>2</v>
      </c>
      <c r="F19" s="7">
        <f>VLOOKUP(TB_Vendas[[#This Row],[Código]],Produtos!$B$6:$G$66,6,0)</f>
        <v>39.9</v>
      </c>
      <c r="G19" s="1" t="e">
        <f ca="1">_xlfn.XMATCH(TB_Vendas[[#This Row],[Categoria]],Desc_Categorias,0)</f>
        <v>#NAME?</v>
      </c>
      <c r="H19" s="43" t="e">
        <f ca="1">VLOOKUP(TB_Vendas[[#This Row],[Qtd]],Desc_TabelaToda,TB_Vendas[[#This Row],[Indice]],TRUE)</f>
        <v>#REF!</v>
      </c>
      <c r="I19" s="43" t="e" cm="1">
        <f t="array" aca="1" ref="I19" ca="1">INDEX(Desc_TabelaToda,MATCH(TB_Vendas[[#This Row],[Qtd]],Desc_Quantidades,1),MATCH(_xlfn.XLOOKUP(TB_Vendas[[#This Row],[Código]],TB_Produtos[[#All],[Código]],TB_Produtos[[#All],[Categoria]]),Desc_Categorias,0))</f>
        <v>#NAME?</v>
      </c>
      <c r="J19" s="43" t="e">
        <f ca="1">_xlfn.XLOOKUP(TB_Vendas[[#This Row],[Vendedor]],Vendedores!$A$5:$A$9,Vendedores!$D$5:$D$9)</f>
        <v>#NAME?</v>
      </c>
      <c r="K19" s="43" t="e">
        <f>IF(#REF!&lt;=#REF!,#REF!,#REF!)</f>
        <v>#REF!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e">
        <f ca="1">_xlfn.XLOOKUP(TB_Vendas[[#This Row],[Código]],TB_Produtos[Código],TB_Produtos[Categoria])</f>
        <v>#NAME?</v>
      </c>
      <c r="E20" s="1">
        <v>4</v>
      </c>
      <c r="F20" s="7">
        <f>VLOOKUP(TB_Vendas[[#This Row],[Código]],Produtos!$B$6:$G$66,6,0)</f>
        <v>289.89999999999998</v>
      </c>
      <c r="G20" s="1" t="e">
        <f ca="1">_xlfn.XMATCH(TB_Vendas[[#This Row],[Categoria]],Desc_Categorias,0)</f>
        <v>#NAME?</v>
      </c>
      <c r="H20" s="43" t="e">
        <f ca="1">VLOOKUP(TB_Vendas[[#This Row],[Qtd]],Desc_TabelaToda,TB_Vendas[[#This Row],[Indice]],TRUE)</f>
        <v>#REF!</v>
      </c>
      <c r="I20" s="43" t="e" cm="1">
        <f t="array" aca="1" ref="I20" ca="1">INDEX(Desc_TabelaToda,MATCH(TB_Vendas[[#This Row],[Qtd]],Desc_Quantidades,1),MATCH(_xlfn.XLOOKUP(TB_Vendas[[#This Row],[Código]],TB_Produtos[[#All],[Código]],TB_Produtos[[#All],[Categoria]]),Desc_Categorias,0))</f>
        <v>#NAME?</v>
      </c>
      <c r="J20" s="43" t="e">
        <f ca="1">_xlfn.XLOOKUP(TB_Vendas[[#This Row],[Vendedor]],Vendedores!$A$5:$A$9,Vendedores!$D$5:$D$9)</f>
        <v>#NAME?</v>
      </c>
      <c r="K20" s="43" t="e">
        <f>IF(#REF!&lt;=#REF!,#REF!,#REF!)</f>
        <v>#REF!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e">
        <f ca="1">_xlfn.XLOOKUP(TB_Vendas[[#This Row],[Código]],TB_Produtos[Código],TB_Produtos[Categoria])</f>
        <v>#NAME?</v>
      </c>
      <c r="E21" s="1">
        <v>3</v>
      </c>
      <c r="F21" s="7">
        <f>VLOOKUP(TB_Vendas[[#This Row],[Código]],Produtos!$B$6:$G$66,6,0)</f>
        <v>180</v>
      </c>
      <c r="G21" s="1" t="e">
        <f ca="1">_xlfn.XMATCH(TB_Vendas[[#This Row],[Categoria]],Desc_Categorias,0)</f>
        <v>#NAME?</v>
      </c>
      <c r="H21" s="43" t="e">
        <f ca="1">VLOOKUP(TB_Vendas[[#This Row],[Qtd]],Desc_TabelaToda,TB_Vendas[[#This Row],[Indice]],TRUE)</f>
        <v>#REF!</v>
      </c>
      <c r="I21" s="43" t="e" cm="1">
        <f t="array" aca="1" ref="I21" ca="1">INDEX(Desc_TabelaToda,MATCH(TB_Vendas[[#This Row],[Qtd]],Desc_Quantidades,1),MATCH(_xlfn.XLOOKUP(TB_Vendas[[#This Row],[Código]],TB_Produtos[[#All],[Código]],TB_Produtos[[#All],[Categoria]]),Desc_Categorias,0))</f>
        <v>#NAME?</v>
      </c>
      <c r="J21" s="43" t="e">
        <f ca="1">_xlfn.XLOOKUP(TB_Vendas[[#This Row],[Vendedor]],Vendedores!$A$5:$A$9,Vendedores!$D$5:$D$9)</f>
        <v>#NAME?</v>
      </c>
      <c r="K21" s="43" t="e">
        <f>IF(#REF!&lt;=#REF!,#REF!,#REF!)</f>
        <v>#REF!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e">
        <f ca="1">_xlfn.XLOOKUP(TB_Vendas[[#This Row],[Código]],TB_Produtos[Código],TB_Produtos[Categoria])</f>
        <v>#NAME?</v>
      </c>
      <c r="E22" s="1">
        <v>2</v>
      </c>
      <c r="F22" s="7">
        <f>VLOOKUP(TB_Vendas[[#This Row],[Código]],Produtos!$B$6:$G$66,6,0)</f>
        <v>32.9</v>
      </c>
      <c r="G22" s="1" t="e">
        <f ca="1">_xlfn.XMATCH(TB_Vendas[[#This Row],[Categoria]],Desc_Categorias,0)</f>
        <v>#NAME?</v>
      </c>
      <c r="H22" s="43" t="e">
        <f ca="1">VLOOKUP(TB_Vendas[[#This Row],[Qtd]],Desc_TabelaToda,TB_Vendas[[#This Row],[Indice]],TRUE)</f>
        <v>#REF!</v>
      </c>
      <c r="I22" s="43" t="e" cm="1">
        <f t="array" aca="1" ref="I22" ca="1">INDEX(Desc_TabelaToda,MATCH(TB_Vendas[[#This Row],[Qtd]],Desc_Quantidades,1),MATCH(_xlfn.XLOOKUP(TB_Vendas[[#This Row],[Código]],TB_Produtos[[#All],[Código]],TB_Produtos[[#All],[Categoria]]),Desc_Categorias,0))</f>
        <v>#NAME?</v>
      </c>
      <c r="J22" s="43" t="e">
        <f ca="1">_xlfn.XLOOKUP(TB_Vendas[[#This Row],[Vendedor]],Vendedores!$A$5:$A$9,Vendedores!$D$5:$D$9)</f>
        <v>#NAME?</v>
      </c>
      <c r="K22" s="43" t="e">
        <f>IF(#REF!&lt;=#REF!,#REF!,#REF!)</f>
        <v>#REF!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e">
        <f ca="1">_xlfn.XLOOKUP(TB_Vendas[[#This Row],[Código]],TB_Produtos[Código],TB_Produtos[Categoria])</f>
        <v>#NAME?</v>
      </c>
      <c r="E23" s="1">
        <v>3</v>
      </c>
      <c r="F23" s="7">
        <f>VLOOKUP(TB_Vendas[[#This Row],[Código]],Produtos!$B$6:$G$66,6,0)</f>
        <v>255</v>
      </c>
      <c r="G23" s="1" t="e">
        <f ca="1">_xlfn.XMATCH(TB_Vendas[[#This Row],[Categoria]],Desc_Categorias,0)</f>
        <v>#NAME?</v>
      </c>
      <c r="H23" s="43" t="e">
        <f ca="1">VLOOKUP(TB_Vendas[[#This Row],[Qtd]],Desc_TabelaToda,TB_Vendas[[#This Row],[Indice]],TRUE)</f>
        <v>#REF!</v>
      </c>
      <c r="I23" s="43" t="e" cm="1">
        <f t="array" aca="1" ref="I23" ca="1">INDEX(Desc_TabelaToda,MATCH(TB_Vendas[[#This Row],[Qtd]],Desc_Quantidades,1),MATCH(_xlfn.XLOOKUP(TB_Vendas[[#This Row],[Código]],TB_Produtos[[#All],[Código]],TB_Produtos[[#All],[Categoria]]),Desc_Categorias,0))</f>
        <v>#NAME?</v>
      </c>
      <c r="J23" s="43" t="e">
        <f ca="1">_xlfn.XLOOKUP(TB_Vendas[[#This Row],[Vendedor]],Vendedores!$A$5:$A$9,Vendedores!$D$5:$D$9)</f>
        <v>#NAME?</v>
      </c>
      <c r="K23" s="43" t="e">
        <f>IF(#REF!&lt;=#REF!,#REF!,#REF!)</f>
        <v>#REF!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e">
        <f ca="1">_xlfn.XLOOKUP(TB_Vendas[[#This Row],[Código]],TB_Produtos[Código],TB_Produtos[Categoria])</f>
        <v>#NAME?</v>
      </c>
      <c r="E24" s="1">
        <v>1</v>
      </c>
      <c r="F24" s="7">
        <f>VLOOKUP(TB_Vendas[[#This Row],[Código]],Produtos!$B$6:$G$66,6,0)</f>
        <v>142.9</v>
      </c>
      <c r="G24" s="1" t="e">
        <f ca="1">_xlfn.XMATCH(TB_Vendas[[#This Row],[Categoria]],Desc_Categorias,0)</f>
        <v>#NAME?</v>
      </c>
      <c r="H24" s="43" t="e">
        <f ca="1">VLOOKUP(TB_Vendas[[#This Row],[Qtd]],Desc_TabelaToda,TB_Vendas[[#This Row],[Indice]],TRUE)</f>
        <v>#REF!</v>
      </c>
      <c r="I24" s="43" t="e" cm="1">
        <f t="array" aca="1" ref="I24" ca="1">INDEX(Desc_TabelaToda,MATCH(TB_Vendas[[#This Row],[Qtd]],Desc_Quantidades,1),MATCH(_xlfn.XLOOKUP(TB_Vendas[[#This Row],[Código]],TB_Produtos[[#All],[Código]],TB_Produtos[[#All],[Categoria]]),Desc_Categorias,0))</f>
        <v>#NAME?</v>
      </c>
      <c r="J24" s="43" t="e">
        <f ca="1">_xlfn.XLOOKUP(TB_Vendas[[#This Row],[Vendedor]],Vendedores!$A$5:$A$9,Vendedores!$D$5:$D$9)</f>
        <v>#NAME?</v>
      </c>
      <c r="K24" s="43" t="e">
        <f>IF(#REF!&lt;=#REF!,#REF!,#REF!)</f>
        <v>#REF!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e">
        <f ca="1">_xlfn.XLOOKUP(TB_Vendas[[#This Row],[Código]],TB_Produtos[Código],TB_Produtos[Categoria])</f>
        <v>#NAME?</v>
      </c>
      <c r="E25" s="1">
        <v>4</v>
      </c>
      <c r="F25" s="7">
        <f>VLOOKUP(TB_Vendas[[#This Row],[Código]],Produtos!$B$6:$G$66,6,0)</f>
        <v>92.9</v>
      </c>
      <c r="G25" s="1" t="e">
        <f ca="1">_xlfn.XMATCH(TB_Vendas[[#This Row],[Categoria]],Desc_Categorias,0)</f>
        <v>#NAME?</v>
      </c>
      <c r="H25" s="43" t="e">
        <f ca="1">VLOOKUP(TB_Vendas[[#This Row],[Qtd]],Desc_TabelaToda,TB_Vendas[[#This Row],[Indice]],TRUE)</f>
        <v>#REF!</v>
      </c>
      <c r="I25" s="43" t="e" cm="1">
        <f t="array" aca="1" ref="I25" ca="1">INDEX(Desc_TabelaToda,MATCH(TB_Vendas[[#This Row],[Qtd]],Desc_Quantidades,1),MATCH(_xlfn.XLOOKUP(TB_Vendas[[#This Row],[Código]],TB_Produtos[[#All],[Código]],TB_Produtos[[#All],[Categoria]]),Desc_Categorias,0))</f>
        <v>#NAME?</v>
      </c>
      <c r="J25" s="43" t="e">
        <f ca="1">_xlfn.XLOOKUP(TB_Vendas[[#This Row],[Vendedor]],Vendedores!$A$5:$A$9,Vendedores!$D$5:$D$9)</f>
        <v>#NAME?</v>
      </c>
      <c r="K25" s="43" t="e">
        <f>IF(#REF!&lt;=#REF!,#REF!,#REF!)</f>
        <v>#REF!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e">
        <f ca="1">_xlfn.XLOOKUP(TB_Vendas[[#This Row],[Código]],TB_Produtos[Código],TB_Produtos[Categoria])</f>
        <v>#NAME?</v>
      </c>
      <c r="E26" s="1">
        <v>2</v>
      </c>
      <c r="F26" s="7">
        <f>VLOOKUP(TB_Vendas[[#This Row],[Código]],Produtos!$B$6:$G$66,6,0)</f>
        <v>54.9</v>
      </c>
      <c r="G26" s="1" t="e">
        <f ca="1">_xlfn.XMATCH(TB_Vendas[[#This Row],[Categoria]],Desc_Categorias,0)</f>
        <v>#NAME?</v>
      </c>
      <c r="H26" s="43" t="e">
        <f ca="1">VLOOKUP(TB_Vendas[[#This Row],[Qtd]],Desc_TabelaToda,TB_Vendas[[#This Row],[Indice]],TRUE)</f>
        <v>#REF!</v>
      </c>
      <c r="I26" s="43" t="e" cm="1">
        <f t="array" aca="1" ref="I26" ca="1">INDEX(Desc_TabelaToda,MATCH(TB_Vendas[[#This Row],[Qtd]],Desc_Quantidades,1),MATCH(_xlfn.XLOOKUP(TB_Vendas[[#This Row],[Código]],TB_Produtos[[#All],[Código]],TB_Produtos[[#All],[Categoria]]),Desc_Categorias,0))</f>
        <v>#NAME?</v>
      </c>
      <c r="J26" s="43" t="e">
        <f ca="1">_xlfn.XLOOKUP(TB_Vendas[[#This Row],[Vendedor]],Vendedores!$A$5:$A$9,Vendedores!$D$5:$D$9)</f>
        <v>#NAME?</v>
      </c>
      <c r="K26" s="43" t="e">
        <f>IF(#REF!&lt;=#REF!,#REF!,#REF!)</f>
        <v>#REF!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e">
        <f ca="1">_xlfn.XLOOKUP(TB_Vendas[[#This Row],[Código]],TB_Produtos[Código],TB_Produtos[Categoria])</f>
        <v>#NAME?</v>
      </c>
      <c r="E27" s="1">
        <v>3</v>
      </c>
      <c r="F27" s="7">
        <f>VLOOKUP(TB_Vendas[[#This Row],[Código]],Produtos!$B$6:$G$66,6,0)</f>
        <v>142.9</v>
      </c>
      <c r="G27" s="1" t="e">
        <f ca="1">_xlfn.XMATCH(TB_Vendas[[#This Row],[Categoria]],Desc_Categorias,0)</f>
        <v>#NAME?</v>
      </c>
      <c r="H27" s="43" t="e">
        <f ca="1">VLOOKUP(TB_Vendas[[#This Row],[Qtd]],Desc_TabelaToda,TB_Vendas[[#This Row],[Indice]],TRUE)</f>
        <v>#REF!</v>
      </c>
      <c r="I27" s="43" t="e" cm="1">
        <f t="array" aca="1" ref="I27" ca="1">INDEX(Desc_TabelaToda,MATCH(TB_Vendas[[#This Row],[Qtd]],Desc_Quantidades,1),MATCH(_xlfn.XLOOKUP(TB_Vendas[[#This Row],[Código]],TB_Produtos[[#All],[Código]],TB_Produtos[[#All],[Categoria]]),Desc_Categorias,0))</f>
        <v>#NAME?</v>
      </c>
      <c r="J27" s="43" t="e">
        <f ca="1">_xlfn.XLOOKUP(TB_Vendas[[#This Row],[Vendedor]],Vendedores!$A$5:$A$9,Vendedores!$D$5:$D$9)</f>
        <v>#NAME?</v>
      </c>
      <c r="K27" s="43" t="e">
        <f>IF(#REF!&lt;=#REF!,#REF!,#REF!)</f>
        <v>#REF!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e">
        <f ca="1">_xlfn.XLOOKUP(TB_Vendas[[#This Row],[Código]],TB_Produtos[Código],TB_Produtos[Categoria])</f>
        <v>#NAME?</v>
      </c>
      <c r="E28" s="1">
        <v>2</v>
      </c>
      <c r="F28" s="7">
        <f>VLOOKUP(TB_Vendas[[#This Row],[Código]],Produtos!$B$6:$G$66,6,0)</f>
        <v>120</v>
      </c>
      <c r="G28" s="1" t="e">
        <f ca="1">_xlfn.XMATCH(TB_Vendas[[#This Row],[Categoria]],Desc_Categorias,0)</f>
        <v>#NAME?</v>
      </c>
      <c r="H28" s="43" t="e">
        <f ca="1">VLOOKUP(TB_Vendas[[#This Row],[Qtd]],Desc_TabelaToda,TB_Vendas[[#This Row],[Indice]],TRUE)</f>
        <v>#REF!</v>
      </c>
      <c r="I28" s="43" t="e" cm="1">
        <f t="array" aca="1" ref="I28" ca="1">INDEX(Desc_TabelaToda,MATCH(TB_Vendas[[#This Row],[Qtd]],Desc_Quantidades,1),MATCH(_xlfn.XLOOKUP(TB_Vendas[[#This Row],[Código]],TB_Produtos[[#All],[Código]],TB_Produtos[[#All],[Categoria]]),Desc_Categorias,0))</f>
        <v>#NAME?</v>
      </c>
      <c r="J28" s="43" t="e">
        <f ca="1">_xlfn.XLOOKUP(TB_Vendas[[#This Row],[Vendedor]],Vendedores!$A$5:$A$9,Vendedores!$D$5:$D$9)</f>
        <v>#NAME?</v>
      </c>
      <c r="K28" s="43" t="e">
        <f>IF(#REF!&lt;=#REF!,#REF!,#REF!)</f>
        <v>#REF!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e">
        <f ca="1">_xlfn.XLOOKUP(TB_Vendas[[#This Row],[Código]],TB_Produtos[Código],TB_Produtos[Categoria])</f>
        <v>#NAME?</v>
      </c>
      <c r="E29" s="1">
        <v>1</v>
      </c>
      <c r="F29" s="7">
        <f>VLOOKUP(TB_Vendas[[#This Row],[Código]],Produtos!$B$6:$G$66,6,0)</f>
        <v>65.900000000000006</v>
      </c>
      <c r="G29" s="1" t="e">
        <f ca="1">_xlfn.XMATCH(TB_Vendas[[#This Row],[Categoria]],Desc_Categorias,0)</f>
        <v>#NAME?</v>
      </c>
      <c r="H29" s="43" t="e">
        <f ca="1">VLOOKUP(TB_Vendas[[#This Row],[Qtd]],Desc_TabelaToda,TB_Vendas[[#This Row],[Indice]],TRUE)</f>
        <v>#REF!</v>
      </c>
      <c r="I29" s="43" t="e" cm="1">
        <f t="array" aca="1" ref="I29" ca="1">INDEX(Desc_TabelaToda,MATCH(TB_Vendas[[#This Row],[Qtd]],Desc_Quantidades,1),MATCH(_xlfn.XLOOKUP(TB_Vendas[[#This Row],[Código]],TB_Produtos[[#All],[Código]],TB_Produtos[[#All],[Categoria]]),Desc_Categorias,0))</f>
        <v>#NAME?</v>
      </c>
      <c r="J29" s="43" t="e">
        <f ca="1">_xlfn.XLOOKUP(TB_Vendas[[#This Row],[Vendedor]],Vendedores!$A$5:$A$9,Vendedores!$D$5:$D$9)</f>
        <v>#NAME?</v>
      </c>
      <c r="K29" s="43" t="e">
        <f>IF(#REF!&lt;=#REF!,#REF!,#REF!)</f>
        <v>#REF!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e">
        <f ca="1">_xlfn.XLOOKUP(TB_Vendas[[#This Row],[Código]],TB_Produtos[Código],TB_Produtos[Categoria])</f>
        <v>#NAME?</v>
      </c>
      <c r="E30" s="1">
        <v>5</v>
      </c>
      <c r="F30" s="7">
        <f>VLOOKUP(TB_Vendas[[#This Row],[Código]],Produtos!$B$6:$G$66,6,0)</f>
        <v>32.9</v>
      </c>
      <c r="G30" s="1" t="e">
        <f ca="1">_xlfn.XMATCH(TB_Vendas[[#This Row],[Categoria]],Desc_Categorias,0)</f>
        <v>#NAME?</v>
      </c>
      <c r="H30" s="43" t="e">
        <f ca="1">VLOOKUP(TB_Vendas[[#This Row],[Qtd]],Desc_TabelaToda,TB_Vendas[[#This Row],[Indice]],TRUE)</f>
        <v>#REF!</v>
      </c>
      <c r="I30" s="43" t="e" cm="1">
        <f t="array" aca="1" ref="I30" ca="1">INDEX(Desc_TabelaToda,MATCH(TB_Vendas[[#This Row],[Qtd]],Desc_Quantidades,1),MATCH(_xlfn.XLOOKUP(TB_Vendas[[#This Row],[Código]],TB_Produtos[[#All],[Código]],TB_Produtos[[#All],[Categoria]]),Desc_Categorias,0))</f>
        <v>#NAME?</v>
      </c>
      <c r="J30" s="43" t="e">
        <f ca="1">_xlfn.XLOOKUP(TB_Vendas[[#This Row],[Vendedor]],Vendedores!$A$5:$A$9,Vendedores!$D$5:$D$9)</f>
        <v>#NAME?</v>
      </c>
      <c r="K30" s="43" t="e">
        <f>IF(#REF!&lt;=#REF!,#REF!,#REF!)</f>
        <v>#REF!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e">
        <f ca="1">_xlfn.XLOOKUP(TB_Vendas[[#This Row],[Código]],TB_Produtos[Código],TB_Produtos[Categoria])</f>
        <v>#NAME?</v>
      </c>
      <c r="E31" s="1">
        <v>2</v>
      </c>
      <c r="F31" s="7">
        <f>VLOOKUP(TB_Vendas[[#This Row],[Código]],Produtos!$B$6:$G$66,6,0)</f>
        <v>180</v>
      </c>
      <c r="G31" s="1" t="e">
        <f ca="1">_xlfn.XMATCH(TB_Vendas[[#This Row],[Categoria]],Desc_Categorias,0)</f>
        <v>#NAME?</v>
      </c>
      <c r="H31" s="43" t="e">
        <f ca="1">VLOOKUP(TB_Vendas[[#This Row],[Qtd]],Desc_TabelaToda,TB_Vendas[[#This Row],[Indice]],TRUE)</f>
        <v>#REF!</v>
      </c>
      <c r="I31" s="43" t="e" cm="1">
        <f t="array" aca="1" ref="I31" ca="1">INDEX(Desc_TabelaToda,MATCH(TB_Vendas[[#This Row],[Qtd]],Desc_Quantidades,1),MATCH(_xlfn.XLOOKUP(TB_Vendas[[#This Row],[Código]],TB_Produtos[[#All],[Código]],TB_Produtos[[#All],[Categoria]]),Desc_Categorias,0))</f>
        <v>#NAME?</v>
      </c>
      <c r="J31" s="43" t="e">
        <f ca="1">_xlfn.XLOOKUP(TB_Vendas[[#This Row],[Vendedor]],Vendedores!$A$5:$A$9,Vendedores!$D$5:$D$9)</f>
        <v>#NAME?</v>
      </c>
      <c r="K31" s="43" t="e">
        <f>IF(#REF!&lt;=#REF!,#REF!,#REF!)</f>
        <v>#REF!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e">
        <f ca="1">_xlfn.XLOOKUP(TB_Vendas[[#This Row],[Código]],TB_Produtos[Código],TB_Produtos[Categoria])</f>
        <v>#NAME?</v>
      </c>
      <c r="E32" s="1">
        <v>3</v>
      </c>
      <c r="F32" s="7">
        <f>VLOOKUP(TB_Vendas[[#This Row],[Código]],Produtos!$B$6:$G$66,6,0)</f>
        <v>349.9</v>
      </c>
      <c r="G32" s="1" t="e">
        <f ca="1">_xlfn.XMATCH(TB_Vendas[[#This Row],[Categoria]],Desc_Categorias,0)</f>
        <v>#NAME?</v>
      </c>
      <c r="H32" s="43" t="e">
        <f ca="1">VLOOKUP(TB_Vendas[[#This Row],[Qtd]],Desc_TabelaToda,TB_Vendas[[#This Row],[Indice]],TRUE)</f>
        <v>#REF!</v>
      </c>
      <c r="I32" s="43" t="e" cm="1">
        <f t="array" aca="1" ref="I32" ca="1">INDEX(Desc_TabelaToda,MATCH(TB_Vendas[[#This Row],[Qtd]],Desc_Quantidades,1),MATCH(_xlfn.XLOOKUP(TB_Vendas[[#This Row],[Código]],TB_Produtos[[#All],[Código]],TB_Produtos[[#All],[Categoria]]),Desc_Categorias,0))</f>
        <v>#NAME?</v>
      </c>
      <c r="J32" s="43" t="e">
        <f ca="1">_xlfn.XLOOKUP(TB_Vendas[[#This Row],[Vendedor]],Vendedores!$A$5:$A$9,Vendedores!$D$5:$D$9)</f>
        <v>#NAME?</v>
      </c>
      <c r="K32" s="43" t="e">
        <f>IF(#REF!&lt;=#REF!,#REF!,#REF!)</f>
        <v>#REF!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e">
        <f ca="1">_xlfn.XLOOKUP(TB_Vendas[[#This Row],[Código]],TB_Produtos[Código],TB_Produtos[Categoria])</f>
        <v>#NAME?</v>
      </c>
      <c r="E33" s="1">
        <v>1</v>
      </c>
      <c r="F33" s="7">
        <f>VLOOKUP(TB_Vendas[[#This Row],[Código]],Produtos!$B$6:$G$66,6,0)</f>
        <v>72.5</v>
      </c>
      <c r="G33" s="1" t="e">
        <f ca="1">_xlfn.XMATCH(TB_Vendas[[#This Row],[Categoria]],Desc_Categorias,0)</f>
        <v>#NAME?</v>
      </c>
      <c r="H33" s="43" t="e">
        <f ca="1">VLOOKUP(TB_Vendas[[#This Row],[Qtd]],Desc_TabelaToda,TB_Vendas[[#This Row],[Indice]],TRUE)</f>
        <v>#REF!</v>
      </c>
      <c r="I33" s="43" t="e" cm="1">
        <f t="array" aca="1" ref="I33" ca="1">INDEX(Desc_TabelaToda,MATCH(TB_Vendas[[#This Row],[Qtd]],Desc_Quantidades,1),MATCH(_xlfn.XLOOKUP(TB_Vendas[[#This Row],[Código]],TB_Produtos[[#All],[Código]],TB_Produtos[[#All],[Categoria]]),Desc_Categorias,0))</f>
        <v>#NAME?</v>
      </c>
      <c r="J33" s="43" t="e">
        <f ca="1">_xlfn.XLOOKUP(TB_Vendas[[#This Row],[Vendedor]],Vendedores!$A$5:$A$9,Vendedores!$D$5:$D$9)</f>
        <v>#NAME?</v>
      </c>
      <c r="K33" s="43" t="e">
        <f>IF(#REF!&lt;=#REF!,#REF!,#REF!)</f>
        <v>#REF!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e">
        <f ca="1">_xlfn.XLOOKUP(TB_Vendas[[#This Row],[Código]],TB_Produtos[Código],TB_Produtos[Categoria])</f>
        <v>#NAME?</v>
      </c>
      <c r="E34" s="1">
        <v>4</v>
      </c>
      <c r="F34" s="7">
        <f>VLOOKUP(TB_Vendas[[#This Row],[Código]],Produtos!$B$6:$G$66,6,0)</f>
        <v>259.89999999999998</v>
      </c>
      <c r="G34" s="1" t="e">
        <f ca="1">_xlfn.XMATCH(TB_Vendas[[#This Row],[Categoria]],Desc_Categorias,0)</f>
        <v>#NAME?</v>
      </c>
      <c r="H34" s="43" t="e">
        <f ca="1">VLOOKUP(TB_Vendas[[#This Row],[Qtd]],Desc_TabelaToda,TB_Vendas[[#This Row],[Indice]],TRUE)</f>
        <v>#REF!</v>
      </c>
      <c r="I34" s="43" t="e" cm="1">
        <f t="array" aca="1" ref="I34" ca="1">INDEX(Desc_TabelaToda,MATCH(TB_Vendas[[#This Row],[Qtd]],Desc_Quantidades,1),MATCH(_xlfn.XLOOKUP(TB_Vendas[[#This Row],[Código]],TB_Produtos[[#All],[Código]],TB_Produtos[[#All],[Categoria]]),Desc_Categorias,0))</f>
        <v>#NAME?</v>
      </c>
      <c r="J34" s="43" t="e">
        <f ca="1">_xlfn.XLOOKUP(TB_Vendas[[#This Row],[Vendedor]],Vendedores!$A$5:$A$9,Vendedores!$D$5:$D$9)</f>
        <v>#NAME?</v>
      </c>
      <c r="K34" s="43" t="e">
        <f>IF(#REF!&lt;=#REF!,#REF!,#REF!)</f>
        <v>#REF!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e">
        <f ca="1">_xlfn.XLOOKUP(TB_Vendas[[#This Row],[Código]],TB_Produtos[Código],TB_Produtos[Categoria])</f>
        <v>#NAME?</v>
      </c>
      <c r="E35" s="1">
        <v>3</v>
      </c>
      <c r="F35" s="7">
        <f>VLOOKUP(TB_Vendas[[#This Row],[Código]],Produtos!$B$6:$G$66,6,0)</f>
        <v>25.9</v>
      </c>
      <c r="G35" s="1" t="e">
        <f ca="1">_xlfn.XMATCH(TB_Vendas[[#This Row],[Categoria]],Desc_Categorias,0)</f>
        <v>#NAME?</v>
      </c>
      <c r="H35" s="43" t="e">
        <f ca="1">VLOOKUP(TB_Vendas[[#This Row],[Qtd]],Desc_TabelaToda,TB_Vendas[[#This Row],[Indice]],TRUE)</f>
        <v>#REF!</v>
      </c>
      <c r="I35" s="43" t="e" cm="1">
        <f t="array" aca="1" ref="I35" ca="1">INDEX(Desc_TabelaToda,MATCH(TB_Vendas[[#This Row],[Qtd]],Desc_Quantidades,1),MATCH(_xlfn.XLOOKUP(TB_Vendas[[#This Row],[Código]],TB_Produtos[[#All],[Código]],TB_Produtos[[#All],[Categoria]]),Desc_Categorias,0))</f>
        <v>#NAME?</v>
      </c>
      <c r="J35" s="43" t="e">
        <f ca="1">_xlfn.XLOOKUP(TB_Vendas[[#This Row],[Vendedor]],Vendedores!$A$5:$A$9,Vendedores!$D$5:$D$9)</f>
        <v>#NAME?</v>
      </c>
      <c r="K35" s="43" t="e">
        <f>IF(#REF!&lt;=#REF!,#REF!,#REF!)</f>
        <v>#REF!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e">
        <f ca="1">_xlfn.XLOOKUP(TB_Vendas[[#This Row],[Código]],TB_Produtos[Código],TB_Produtos[Categoria])</f>
        <v>#NAME?</v>
      </c>
      <c r="E36" s="1">
        <v>2</v>
      </c>
      <c r="F36" s="7">
        <f>VLOOKUP(TB_Vendas[[#This Row],[Código]],Produtos!$B$6:$G$66,6,0)</f>
        <v>145</v>
      </c>
      <c r="G36" s="1" t="e">
        <f ca="1">_xlfn.XMATCH(TB_Vendas[[#This Row],[Categoria]],Desc_Categorias,0)</f>
        <v>#NAME?</v>
      </c>
      <c r="H36" s="43" t="e">
        <f ca="1">VLOOKUP(TB_Vendas[[#This Row],[Qtd]],Desc_TabelaToda,TB_Vendas[[#This Row],[Indice]],TRUE)</f>
        <v>#REF!</v>
      </c>
      <c r="I36" s="43" t="e" cm="1">
        <f t="array" aca="1" ref="I36" ca="1">INDEX(Desc_TabelaToda,MATCH(TB_Vendas[[#This Row],[Qtd]],Desc_Quantidades,1),MATCH(_xlfn.XLOOKUP(TB_Vendas[[#This Row],[Código]],TB_Produtos[[#All],[Código]],TB_Produtos[[#All],[Categoria]]),Desc_Categorias,0))</f>
        <v>#NAME?</v>
      </c>
      <c r="J36" s="43" t="e">
        <f ca="1">_xlfn.XLOOKUP(TB_Vendas[[#This Row],[Vendedor]],Vendedores!$A$5:$A$9,Vendedores!$D$5:$D$9)</f>
        <v>#NAME?</v>
      </c>
      <c r="K36" s="43" t="e">
        <f>IF(#REF!&lt;=#REF!,#REF!,#REF!)</f>
        <v>#REF!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e">
        <f ca="1">_xlfn.XLOOKUP(TB_Vendas[[#This Row],[Código]],TB_Produtos[Código],TB_Produtos[Categoria])</f>
        <v>#NAME?</v>
      </c>
      <c r="E37" s="1">
        <v>1</v>
      </c>
      <c r="F37" s="7">
        <f>VLOOKUP(TB_Vendas[[#This Row],[Código]],Produtos!$B$6:$G$66,6,0)</f>
        <v>39.9</v>
      </c>
      <c r="G37" s="1" t="e">
        <f ca="1">_xlfn.XMATCH(TB_Vendas[[#This Row],[Categoria]],Desc_Categorias,0)</f>
        <v>#NAME?</v>
      </c>
      <c r="H37" s="43" t="e">
        <f ca="1">VLOOKUP(TB_Vendas[[#This Row],[Qtd]],Desc_TabelaToda,TB_Vendas[[#This Row],[Indice]],TRUE)</f>
        <v>#REF!</v>
      </c>
      <c r="I37" s="43" t="e" cm="1">
        <f t="array" aca="1" ref="I37" ca="1">INDEX(Desc_TabelaToda,MATCH(TB_Vendas[[#This Row],[Qtd]],Desc_Quantidades,1),MATCH(_xlfn.XLOOKUP(TB_Vendas[[#This Row],[Código]],TB_Produtos[[#All],[Código]],TB_Produtos[[#All],[Categoria]]),Desc_Categorias,0))</f>
        <v>#NAME?</v>
      </c>
      <c r="J37" s="43" t="e">
        <f ca="1">_xlfn.XLOOKUP(TB_Vendas[[#This Row],[Vendedor]],Vendedores!$A$5:$A$9,Vendedores!$D$5:$D$9)</f>
        <v>#NAME?</v>
      </c>
      <c r="K37" s="43" t="e">
        <f>IF(#REF!&lt;=#REF!,#REF!,#REF!)</f>
        <v>#REF!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e">
        <f ca="1">_xlfn.XLOOKUP(TB_Vendas[[#This Row],[Código]],TB_Produtos[Código],TB_Produtos[Categoria])</f>
        <v>#NAME?</v>
      </c>
      <c r="E38" s="1">
        <v>3</v>
      </c>
      <c r="F38" s="7">
        <f>VLOOKUP(TB_Vendas[[#This Row],[Código]],Produtos!$B$6:$G$66,6,0)</f>
        <v>349.9</v>
      </c>
      <c r="G38" s="1" t="e">
        <f ca="1">_xlfn.XMATCH(TB_Vendas[[#This Row],[Categoria]],Desc_Categorias,0)</f>
        <v>#NAME?</v>
      </c>
      <c r="H38" s="43" t="e">
        <f ca="1">VLOOKUP(TB_Vendas[[#This Row],[Qtd]],Desc_TabelaToda,TB_Vendas[[#This Row],[Indice]],TRUE)</f>
        <v>#REF!</v>
      </c>
      <c r="I38" s="43" t="e" cm="1">
        <f t="array" aca="1" ref="I38" ca="1">INDEX(Desc_TabelaToda,MATCH(TB_Vendas[[#This Row],[Qtd]],Desc_Quantidades,1),MATCH(_xlfn.XLOOKUP(TB_Vendas[[#This Row],[Código]],TB_Produtos[[#All],[Código]],TB_Produtos[[#All],[Categoria]]),Desc_Categorias,0))</f>
        <v>#NAME?</v>
      </c>
      <c r="J38" s="43" t="e">
        <f ca="1">_xlfn.XLOOKUP(TB_Vendas[[#This Row],[Vendedor]],Vendedores!$A$5:$A$9,Vendedores!$D$5:$D$9)</f>
        <v>#NAME?</v>
      </c>
      <c r="K38" s="43" t="e">
        <f>IF(#REF!&lt;=#REF!,#REF!,#REF!)</f>
        <v>#REF!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e">
        <f ca="1">_xlfn.XLOOKUP(TB_Vendas[[#This Row],[Código]],TB_Produtos[Código],TB_Produtos[Categoria])</f>
        <v>#NAME?</v>
      </c>
      <c r="E39" s="1">
        <v>4</v>
      </c>
      <c r="F39" s="7">
        <f>VLOOKUP(TB_Vendas[[#This Row],[Código]],Produtos!$B$6:$G$66,6,0)</f>
        <v>89.9</v>
      </c>
      <c r="G39" s="1" t="e">
        <f ca="1">_xlfn.XMATCH(TB_Vendas[[#This Row],[Categoria]],Desc_Categorias,0)</f>
        <v>#NAME?</v>
      </c>
      <c r="H39" s="43" t="e">
        <f ca="1">VLOOKUP(TB_Vendas[[#This Row],[Qtd]],Desc_TabelaToda,TB_Vendas[[#This Row],[Indice]],TRUE)</f>
        <v>#REF!</v>
      </c>
      <c r="I39" s="43" t="e" cm="1">
        <f t="array" aca="1" ref="I39" ca="1">INDEX(Desc_TabelaToda,MATCH(TB_Vendas[[#This Row],[Qtd]],Desc_Quantidades,1),MATCH(_xlfn.XLOOKUP(TB_Vendas[[#This Row],[Código]],TB_Produtos[[#All],[Código]],TB_Produtos[[#All],[Categoria]]),Desc_Categorias,0))</f>
        <v>#NAME?</v>
      </c>
      <c r="J39" s="43" t="e">
        <f ca="1">_xlfn.XLOOKUP(TB_Vendas[[#This Row],[Vendedor]],Vendedores!$A$5:$A$9,Vendedores!$D$5:$D$9)</f>
        <v>#NAME?</v>
      </c>
      <c r="K39" s="43" t="e">
        <f>IF(#REF!&lt;=#REF!,#REF!,#REF!)</f>
        <v>#REF!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e">
        <f ca="1">_xlfn.XLOOKUP(TB_Vendas[[#This Row],[Código]],TB_Produtos[Código],TB_Produtos[Categoria])</f>
        <v>#NAME?</v>
      </c>
      <c r="E40" s="1">
        <v>2</v>
      </c>
      <c r="F40" s="7">
        <f>VLOOKUP(TB_Vendas[[#This Row],[Código]],Produtos!$B$6:$G$66,6,0)</f>
        <v>89.9</v>
      </c>
      <c r="G40" s="1" t="e">
        <f ca="1">_xlfn.XMATCH(TB_Vendas[[#This Row],[Categoria]],Desc_Categorias,0)</f>
        <v>#NAME?</v>
      </c>
      <c r="H40" s="43" t="e">
        <f ca="1">VLOOKUP(TB_Vendas[[#This Row],[Qtd]],Desc_TabelaToda,TB_Vendas[[#This Row],[Indice]],TRUE)</f>
        <v>#REF!</v>
      </c>
      <c r="I40" s="43" t="e" cm="1">
        <f t="array" aca="1" ref="I40" ca="1">INDEX(Desc_TabelaToda,MATCH(TB_Vendas[[#This Row],[Qtd]],Desc_Quantidades,1),MATCH(_xlfn.XLOOKUP(TB_Vendas[[#This Row],[Código]],TB_Produtos[[#All],[Código]],TB_Produtos[[#All],[Categoria]]),Desc_Categorias,0))</f>
        <v>#NAME?</v>
      </c>
      <c r="J40" s="43" t="e">
        <f ca="1">_xlfn.XLOOKUP(TB_Vendas[[#This Row],[Vendedor]],Vendedores!$A$5:$A$9,Vendedores!$D$5:$D$9)</f>
        <v>#NAME?</v>
      </c>
      <c r="K40" s="43" t="e">
        <f>IF(#REF!&lt;=#REF!,#REF!,#REF!)</f>
        <v>#REF!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e">
        <f ca="1">_xlfn.XLOOKUP(TB_Vendas[[#This Row],[Código]],TB_Produtos[Código],TB_Produtos[Categoria])</f>
        <v>#NAME?</v>
      </c>
      <c r="E41" s="1">
        <v>3</v>
      </c>
      <c r="F41" s="7">
        <f>VLOOKUP(TB_Vendas[[#This Row],[Código]],Produtos!$B$6:$G$66,6,0)</f>
        <v>69.900000000000006</v>
      </c>
      <c r="G41" s="1" t="e">
        <f ca="1">_xlfn.XMATCH(TB_Vendas[[#This Row],[Categoria]],Desc_Categorias,0)</f>
        <v>#NAME?</v>
      </c>
      <c r="H41" s="43" t="e">
        <f ca="1">VLOOKUP(TB_Vendas[[#This Row],[Qtd]],Desc_TabelaToda,TB_Vendas[[#This Row],[Indice]],TRUE)</f>
        <v>#REF!</v>
      </c>
      <c r="I41" s="43" t="e" cm="1">
        <f t="array" aca="1" ref="I41" ca="1">INDEX(Desc_TabelaToda,MATCH(TB_Vendas[[#This Row],[Qtd]],Desc_Quantidades,1),MATCH(_xlfn.XLOOKUP(TB_Vendas[[#This Row],[Código]],TB_Produtos[[#All],[Código]],TB_Produtos[[#All],[Categoria]]),Desc_Categorias,0))</f>
        <v>#NAME?</v>
      </c>
      <c r="J41" s="43" t="e">
        <f ca="1">_xlfn.XLOOKUP(TB_Vendas[[#This Row],[Vendedor]],Vendedores!$A$5:$A$9,Vendedores!$D$5:$D$9)</f>
        <v>#NAME?</v>
      </c>
      <c r="K41" s="43" t="e">
        <f>IF(#REF!&lt;=#REF!,#REF!,#REF!)</f>
        <v>#REF!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e">
        <f ca="1">_xlfn.XLOOKUP(TB_Vendas[[#This Row],[Código]],TB_Produtos[Código],TB_Produtos[Categoria])</f>
        <v>#NAME?</v>
      </c>
      <c r="E42" s="1">
        <v>1</v>
      </c>
      <c r="F42" s="7">
        <f>VLOOKUP(TB_Vendas[[#This Row],[Código]],Produtos!$B$6:$G$66,6,0)</f>
        <v>145</v>
      </c>
      <c r="G42" s="1" t="e">
        <f ca="1">_xlfn.XMATCH(TB_Vendas[[#This Row],[Categoria]],Desc_Categorias,0)</f>
        <v>#NAME?</v>
      </c>
      <c r="H42" s="43" t="e">
        <f ca="1">VLOOKUP(TB_Vendas[[#This Row],[Qtd]],Desc_TabelaToda,TB_Vendas[[#This Row],[Indice]],TRUE)</f>
        <v>#REF!</v>
      </c>
      <c r="I42" s="43" t="e" cm="1">
        <f t="array" aca="1" ref="I42" ca="1">INDEX(Desc_TabelaToda,MATCH(TB_Vendas[[#This Row],[Qtd]],Desc_Quantidades,1),MATCH(_xlfn.XLOOKUP(TB_Vendas[[#This Row],[Código]],TB_Produtos[[#All],[Código]],TB_Produtos[[#All],[Categoria]]),Desc_Categorias,0))</f>
        <v>#NAME?</v>
      </c>
      <c r="J42" s="43" t="e">
        <f ca="1">_xlfn.XLOOKUP(TB_Vendas[[#This Row],[Vendedor]],Vendedores!$A$5:$A$9,Vendedores!$D$5:$D$9)</f>
        <v>#NAME?</v>
      </c>
      <c r="K42" s="43" t="e">
        <f>IF(#REF!&lt;=#REF!,#REF!,#REF!)</f>
        <v>#REF!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e">
        <f ca="1">_xlfn.XLOOKUP(TB_Vendas[[#This Row],[Código]],TB_Produtos[Código],TB_Produtos[Categoria])</f>
        <v>#NAME?</v>
      </c>
      <c r="E43" s="1">
        <v>4</v>
      </c>
      <c r="F43" s="7">
        <f>VLOOKUP(TB_Vendas[[#This Row],[Código]],Produtos!$B$6:$G$66,6,0)</f>
        <v>46.9</v>
      </c>
      <c r="G43" s="1" t="e">
        <f ca="1">_xlfn.XMATCH(TB_Vendas[[#This Row],[Categoria]],Desc_Categorias,0)</f>
        <v>#NAME?</v>
      </c>
      <c r="H43" s="43" t="e">
        <f ca="1">VLOOKUP(TB_Vendas[[#This Row],[Qtd]],Desc_TabelaToda,TB_Vendas[[#This Row],[Indice]],TRUE)</f>
        <v>#REF!</v>
      </c>
      <c r="I43" s="43" t="e" cm="1">
        <f t="array" aca="1" ref="I43" ca="1">INDEX(Desc_TabelaToda,MATCH(TB_Vendas[[#This Row],[Qtd]],Desc_Quantidades,1),MATCH(_xlfn.XLOOKUP(TB_Vendas[[#This Row],[Código]],TB_Produtos[[#All],[Código]],TB_Produtos[[#All],[Categoria]]),Desc_Categorias,0))</f>
        <v>#NAME?</v>
      </c>
      <c r="J43" s="43" t="e">
        <f ca="1">_xlfn.XLOOKUP(TB_Vendas[[#This Row],[Vendedor]],Vendedores!$A$5:$A$9,Vendedores!$D$5:$D$9)</f>
        <v>#NAME?</v>
      </c>
      <c r="K43" s="43" t="e">
        <f>IF(#REF!&lt;=#REF!,#REF!,#REF!)</f>
        <v>#REF!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e">
        <f ca="1">_xlfn.XLOOKUP(TB_Vendas[[#This Row],[Código]],TB_Produtos[Código],TB_Produtos[Categoria])</f>
        <v>#NAME?</v>
      </c>
      <c r="E44" s="1">
        <v>2</v>
      </c>
      <c r="F44" s="7">
        <f>VLOOKUP(TB_Vendas[[#This Row],[Código]],Produtos!$B$6:$G$66,6,0)</f>
        <v>72.5</v>
      </c>
      <c r="G44" s="1" t="e">
        <f ca="1">_xlfn.XMATCH(TB_Vendas[[#This Row],[Categoria]],Desc_Categorias,0)</f>
        <v>#NAME?</v>
      </c>
      <c r="H44" s="43" t="e">
        <f ca="1">VLOOKUP(TB_Vendas[[#This Row],[Qtd]],Desc_TabelaToda,TB_Vendas[[#This Row],[Indice]],TRUE)</f>
        <v>#REF!</v>
      </c>
      <c r="I44" s="43" t="e" cm="1">
        <f t="array" aca="1" ref="I44" ca="1">INDEX(Desc_TabelaToda,MATCH(TB_Vendas[[#This Row],[Qtd]],Desc_Quantidades,1),MATCH(_xlfn.XLOOKUP(TB_Vendas[[#This Row],[Código]],TB_Produtos[[#All],[Código]],TB_Produtos[[#All],[Categoria]]),Desc_Categorias,0))</f>
        <v>#NAME?</v>
      </c>
      <c r="J44" s="43" t="e">
        <f ca="1">_xlfn.XLOOKUP(TB_Vendas[[#This Row],[Vendedor]],Vendedores!$A$5:$A$9,Vendedores!$D$5:$D$9)</f>
        <v>#NAME?</v>
      </c>
      <c r="K44" s="43" t="e">
        <f>IF(#REF!&lt;=#REF!,#REF!,#REF!)</f>
        <v>#REF!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e">
        <f ca="1">_xlfn.XLOOKUP(TB_Vendas[[#This Row],[Código]],TB_Produtos[Código],TB_Produtos[Categoria])</f>
        <v>#NAME?</v>
      </c>
      <c r="E45" s="1">
        <v>3</v>
      </c>
      <c r="F45" s="7">
        <f>VLOOKUP(TB_Vendas[[#This Row],[Código]],Produtos!$B$6:$G$66,6,0)</f>
        <v>140</v>
      </c>
      <c r="G45" s="1" t="e">
        <f ca="1">_xlfn.XMATCH(TB_Vendas[[#This Row],[Categoria]],Desc_Categorias,0)</f>
        <v>#NAME?</v>
      </c>
      <c r="H45" s="43" t="e">
        <f ca="1">VLOOKUP(TB_Vendas[[#This Row],[Qtd]],Desc_TabelaToda,TB_Vendas[[#This Row],[Indice]],TRUE)</f>
        <v>#REF!</v>
      </c>
      <c r="I45" s="43" t="e" cm="1">
        <f t="array" aca="1" ref="I45" ca="1">INDEX(Desc_TabelaToda,MATCH(TB_Vendas[[#This Row],[Qtd]],Desc_Quantidades,1),MATCH(_xlfn.XLOOKUP(TB_Vendas[[#This Row],[Código]],TB_Produtos[[#All],[Código]],TB_Produtos[[#All],[Categoria]]),Desc_Categorias,0))</f>
        <v>#NAME?</v>
      </c>
      <c r="J45" s="43" t="e">
        <f ca="1">_xlfn.XLOOKUP(TB_Vendas[[#This Row],[Vendedor]],Vendedores!$A$5:$A$9,Vendedores!$D$5:$D$9)</f>
        <v>#NAME?</v>
      </c>
      <c r="K45" s="43" t="e">
        <f>IF(#REF!&lt;=#REF!,#REF!,#REF!)</f>
        <v>#REF!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e">
        <f ca="1">_xlfn.XLOOKUP(TB_Vendas[[#This Row],[Código]],TB_Produtos[Código],TB_Produtos[Categoria])</f>
        <v>#NAME?</v>
      </c>
      <c r="E46" s="1">
        <v>1</v>
      </c>
      <c r="F46" s="7">
        <f>VLOOKUP(TB_Vendas[[#This Row],[Código]],Produtos!$B$6:$G$66,6,0)</f>
        <v>91.4</v>
      </c>
      <c r="G46" s="1" t="e">
        <f ca="1">_xlfn.XMATCH(TB_Vendas[[#This Row],[Categoria]],Desc_Categorias,0)</f>
        <v>#NAME?</v>
      </c>
      <c r="H46" s="43" t="e">
        <f ca="1">VLOOKUP(TB_Vendas[[#This Row],[Qtd]],Desc_TabelaToda,TB_Vendas[[#This Row],[Indice]],TRUE)</f>
        <v>#REF!</v>
      </c>
      <c r="I46" s="43" t="e" cm="1">
        <f t="array" aca="1" ref="I46" ca="1">INDEX(Desc_TabelaToda,MATCH(TB_Vendas[[#This Row],[Qtd]],Desc_Quantidades,1),MATCH(_xlfn.XLOOKUP(TB_Vendas[[#This Row],[Código]],TB_Produtos[[#All],[Código]],TB_Produtos[[#All],[Categoria]]),Desc_Categorias,0))</f>
        <v>#NAME?</v>
      </c>
      <c r="J46" s="43" t="e">
        <f ca="1">_xlfn.XLOOKUP(TB_Vendas[[#This Row],[Vendedor]],Vendedores!$A$5:$A$9,Vendedores!$D$5:$D$9)</f>
        <v>#NAME?</v>
      </c>
      <c r="K46" s="43" t="e">
        <f>IF(#REF!&lt;=#REF!,#REF!,#REF!)</f>
        <v>#REF!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e">
        <f ca="1">_xlfn.XLOOKUP(TB_Vendas[[#This Row],[Código]],TB_Produtos[Código],TB_Produtos[Categoria])</f>
        <v>#NAME?</v>
      </c>
      <c r="E47" s="1">
        <v>2</v>
      </c>
      <c r="F47" s="7">
        <f>VLOOKUP(TB_Vendas[[#This Row],[Código]],Produtos!$B$6:$G$66,6,0)</f>
        <v>349.9</v>
      </c>
      <c r="G47" s="1" t="e">
        <f ca="1">_xlfn.XMATCH(TB_Vendas[[#This Row],[Categoria]],Desc_Categorias,0)</f>
        <v>#NAME?</v>
      </c>
      <c r="H47" s="43" t="e">
        <f ca="1">VLOOKUP(TB_Vendas[[#This Row],[Qtd]],Desc_TabelaToda,TB_Vendas[[#This Row],[Indice]],TRUE)</f>
        <v>#REF!</v>
      </c>
      <c r="I47" s="43" t="e" cm="1">
        <f t="array" aca="1" ref="I47" ca="1">INDEX(Desc_TabelaToda,MATCH(TB_Vendas[[#This Row],[Qtd]],Desc_Quantidades,1),MATCH(_xlfn.XLOOKUP(TB_Vendas[[#This Row],[Código]],TB_Produtos[[#All],[Código]],TB_Produtos[[#All],[Categoria]]),Desc_Categorias,0))</f>
        <v>#NAME?</v>
      </c>
      <c r="J47" s="43" t="e">
        <f ca="1">_xlfn.XLOOKUP(TB_Vendas[[#This Row],[Vendedor]],Vendedores!$A$5:$A$9,Vendedores!$D$5:$D$9)</f>
        <v>#NAME?</v>
      </c>
      <c r="K47" s="43" t="e">
        <f>IF(#REF!&lt;=#REF!,#REF!,#REF!)</f>
        <v>#REF!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e">
        <f ca="1">_xlfn.XLOOKUP(TB_Vendas[[#This Row],[Código]],TB_Produtos[Código],TB_Produtos[Categoria])</f>
        <v>#NAME?</v>
      </c>
      <c r="E48" s="1">
        <v>3</v>
      </c>
      <c r="F48" s="7">
        <f>VLOOKUP(TB_Vendas[[#This Row],[Código]],Produtos!$B$6:$G$66,6,0)</f>
        <v>65.900000000000006</v>
      </c>
      <c r="G48" s="1" t="e">
        <f ca="1">_xlfn.XMATCH(TB_Vendas[[#This Row],[Categoria]],Desc_Categorias,0)</f>
        <v>#NAME?</v>
      </c>
      <c r="H48" s="43" t="e">
        <f ca="1">VLOOKUP(TB_Vendas[[#This Row],[Qtd]],Desc_TabelaToda,TB_Vendas[[#This Row],[Indice]],TRUE)</f>
        <v>#REF!</v>
      </c>
      <c r="I48" s="43" t="e" cm="1">
        <f t="array" aca="1" ref="I48" ca="1">INDEX(Desc_TabelaToda,MATCH(TB_Vendas[[#This Row],[Qtd]],Desc_Quantidades,1),MATCH(_xlfn.XLOOKUP(TB_Vendas[[#This Row],[Código]],TB_Produtos[[#All],[Código]],TB_Produtos[[#All],[Categoria]]),Desc_Categorias,0))</f>
        <v>#NAME?</v>
      </c>
      <c r="J48" s="43" t="e">
        <f ca="1">_xlfn.XLOOKUP(TB_Vendas[[#This Row],[Vendedor]],Vendedores!$A$5:$A$9,Vendedores!$D$5:$D$9)</f>
        <v>#NAME?</v>
      </c>
      <c r="K48" s="43" t="e">
        <f>IF(#REF!&lt;=#REF!,#REF!,#REF!)</f>
        <v>#REF!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e">
        <f ca="1">_xlfn.XLOOKUP(TB_Vendas[[#This Row],[Código]],TB_Produtos[Código],TB_Produtos[Categoria])</f>
        <v>#NAME?</v>
      </c>
      <c r="E49" s="1">
        <v>2</v>
      </c>
      <c r="F49" s="7">
        <f>VLOOKUP(TB_Vendas[[#This Row],[Código]],Produtos!$B$6:$G$66,6,0)</f>
        <v>91.4</v>
      </c>
      <c r="G49" s="1" t="e">
        <f ca="1">_xlfn.XMATCH(TB_Vendas[[#This Row],[Categoria]],Desc_Categorias,0)</f>
        <v>#NAME?</v>
      </c>
      <c r="H49" s="43" t="e">
        <f ca="1">VLOOKUP(TB_Vendas[[#This Row],[Qtd]],Desc_TabelaToda,TB_Vendas[[#This Row],[Indice]],TRUE)</f>
        <v>#REF!</v>
      </c>
      <c r="I49" s="43" t="e" cm="1">
        <f t="array" aca="1" ref="I49" ca="1">INDEX(Desc_TabelaToda,MATCH(TB_Vendas[[#This Row],[Qtd]],Desc_Quantidades,1),MATCH(_xlfn.XLOOKUP(TB_Vendas[[#This Row],[Código]],TB_Produtos[[#All],[Código]],TB_Produtos[[#All],[Categoria]]),Desc_Categorias,0))</f>
        <v>#NAME?</v>
      </c>
      <c r="J49" s="43" t="e">
        <f ca="1">_xlfn.XLOOKUP(TB_Vendas[[#This Row],[Vendedor]],Vendedores!$A$5:$A$9,Vendedores!$D$5:$D$9)</f>
        <v>#NAME?</v>
      </c>
      <c r="K49" s="43" t="e">
        <f>IF(#REF!&lt;=#REF!,#REF!,#REF!)</f>
        <v>#REF!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e">
        <f ca="1">_xlfn.XLOOKUP(TB_Vendas[[#This Row],[Código]],TB_Produtos[Código],TB_Produtos[Categoria])</f>
        <v>#NAME?</v>
      </c>
      <c r="E50" s="1">
        <v>4</v>
      </c>
      <c r="F50" s="7">
        <f>VLOOKUP(TB_Vendas[[#This Row],[Código]],Produtos!$B$6:$G$66,6,0)</f>
        <v>259.89999999999998</v>
      </c>
      <c r="G50" s="1" t="e">
        <f ca="1">_xlfn.XMATCH(TB_Vendas[[#This Row],[Categoria]],Desc_Categorias,0)</f>
        <v>#NAME?</v>
      </c>
      <c r="H50" s="43" t="e">
        <f ca="1">VLOOKUP(TB_Vendas[[#This Row],[Qtd]],Desc_TabelaToda,TB_Vendas[[#This Row],[Indice]],TRUE)</f>
        <v>#REF!</v>
      </c>
      <c r="I50" s="43" t="e" cm="1">
        <f t="array" aca="1" ref="I50" ca="1">INDEX(Desc_TabelaToda,MATCH(TB_Vendas[[#This Row],[Qtd]],Desc_Quantidades,1),MATCH(_xlfn.XLOOKUP(TB_Vendas[[#This Row],[Código]],TB_Produtos[[#All],[Código]],TB_Produtos[[#All],[Categoria]]),Desc_Categorias,0))</f>
        <v>#NAME?</v>
      </c>
      <c r="J50" s="43" t="e">
        <f ca="1">_xlfn.XLOOKUP(TB_Vendas[[#This Row],[Vendedor]],Vendedores!$A$5:$A$9,Vendedores!$D$5:$D$9)</f>
        <v>#NAME?</v>
      </c>
      <c r="K50" s="43" t="e">
        <f>IF(#REF!&lt;=#REF!,#REF!,#REF!)</f>
        <v>#REF!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e">
        <f ca="1">_xlfn.XLOOKUP(TB_Vendas[[#This Row],[Código]],TB_Produtos[Código],TB_Produtos[Categoria])</f>
        <v>#NAME?</v>
      </c>
      <c r="E51" s="1">
        <v>3</v>
      </c>
      <c r="F51" s="7">
        <f>VLOOKUP(TB_Vendas[[#This Row],[Código]],Produtos!$B$6:$G$66,6,0)</f>
        <v>145</v>
      </c>
      <c r="G51" s="1" t="e">
        <f ca="1">_xlfn.XMATCH(TB_Vendas[[#This Row],[Categoria]],Desc_Categorias,0)</f>
        <v>#NAME?</v>
      </c>
      <c r="H51" s="43" t="e">
        <f ca="1">VLOOKUP(TB_Vendas[[#This Row],[Qtd]],Desc_TabelaToda,TB_Vendas[[#This Row],[Indice]],TRUE)</f>
        <v>#REF!</v>
      </c>
      <c r="I51" s="43" t="e" cm="1">
        <f t="array" aca="1" ref="I51" ca="1">INDEX(Desc_TabelaToda,MATCH(TB_Vendas[[#This Row],[Qtd]],Desc_Quantidades,1),MATCH(_xlfn.XLOOKUP(TB_Vendas[[#This Row],[Código]],TB_Produtos[[#All],[Código]],TB_Produtos[[#All],[Categoria]]),Desc_Categorias,0))</f>
        <v>#NAME?</v>
      </c>
      <c r="J51" s="43" t="e">
        <f ca="1">_xlfn.XLOOKUP(TB_Vendas[[#This Row],[Vendedor]],Vendedores!$A$5:$A$9,Vendedores!$D$5:$D$9)</f>
        <v>#NAME?</v>
      </c>
      <c r="K51" s="43" t="e">
        <f>IF(#REF!&lt;=#REF!,#REF!,#REF!)</f>
        <v>#REF!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e">
        <f ca="1">_xlfn.XLOOKUP(TB_Vendas[[#This Row],[Código]],TB_Produtos[Código],TB_Produtos[Categoria])</f>
        <v>#NAME?</v>
      </c>
      <c r="E52" s="1">
        <v>2</v>
      </c>
      <c r="F52" s="7">
        <f>VLOOKUP(TB_Vendas[[#This Row],[Código]],Produtos!$B$6:$G$66,6,0)</f>
        <v>142.9</v>
      </c>
      <c r="G52" s="1" t="e">
        <f ca="1">_xlfn.XMATCH(TB_Vendas[[#This Row],[Categoria]],Desc_Categorias,0)</f>
        <v>#NAME?</v>
      </c>
      <c r="H52" s="43" t="e">
        <f ca="1">VLOOKUP(TB_Vendas[[#This Row],[Qtd]],Desc_TabelaToda,TB_Vendas[[#This Row],[Indice]],TRUE)</f>
        <v>#REF!</v>
      </c>
      <c r="I52" s="43" t="e" cm="1">
        <f t="array" aca="1" ref="I52" ca="1">INDEX(Desc_TabelaToda,MATCH(TB_Vendas[[#This Row],[Qtd]],Desc_Quantidades,1),MATCH(_xlfn.XLOOKUP(TB_Vendas[[#This Row],[Código]],TB_Produtos[[#All],[Código]],TB_Produtos[[#All],[Categoria]]),Desc_Categorias,0))</f>
        <v>#NAME?</v>
      </c>
      <c r="J52" s="43" t="e">
        <f ca="1">_xlfn.XLOOKUP(TB_Vendas[[#This Row],[Vendedor]],Vendedores!$A$5:$A$9,Vendedores!$D$5:$D$9)</f>
        <v>#NAME?</v>
      </c>
      <c r="K52" s="43" t="e">
        <f>IF(#REF!&lt;=#REF!,#REF!,#REF!)</f>
        <v>#REF!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e">
        <f ca="1">_xlfn.XLOOKUP(TB_Vendas[[#This Row],[Código]],TB_Produtos[Código],TB_Produtos[Categoria])</f>
        <v>#NAME?</v>
      </c>
      <c r="E53" s="1">
        <v>2</v>
      </c>
      <c r="F53" s="7">
        <f>VLOOKUP(TB_Vendas[[#This Row],[Código]],Produtos!$B$6:$G$66,6,0)</f>
        <v>180</v>
      </c>
      <c r="G53" s="1" t="e">
        <f ca="1">_xlfn.XMATCH(TB_Vendas[[#This Row],[Categoria]],Desc_Categorias,0)</f>
        <v>#NAME?</v>
      </c>
      <c r="H53" s="43" t="e">
        <f ca="1">VLOOKUP(TB_Vendas[[#This Row],[Qtd]],Desc_TabelaToda,TB_Vendas[[#This Row],[Indice]],TRUE)</f>
        <v>#REF!</v>
      </c>
      <c r="I53" s="43" t="e" cm="1">
        <f t="array" aca="1" ref="I53" ca="1">INDEX(Desc_TabelaToda,MATCH(TB_Vendas[[#This Row],[Qtd]],Desc_Quantidades,1),MATCH(_xlfn.XLOOKUP(TB_Vendas[[#This Row],[Código]],TB_Produtos[[#All],[Código]],TB_Produtos[[#All],[Categoria]]),Desc_Categorias,0))</f>
        <v>#NAME?</v>
      </c>
      <c r="J53" s="43" t="e">
        <f ca="1">_xlfn.XLOOKUP(TB_Vendas[[#This Row],[Vendedor]],Vendedores!$A$5:$A$9,Vendedores!$D$5:$D$9)</f>
        <v>#NAME?</v>
      </c>
      <c r="K53" s="43" t="e">
        <f>IF(#REF!&lt;=#REF!,#REF!,#REF!)</f>
        <v>#REF!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e">
        <f ca="1">_xlfn.XLOOKUP(TB_Vendas[[#This Row],[Código]],TB_Produtos[Código],TB_Produtos[Categoria])</f>
        <v>#NAME?</v>
      </c>
      <c r="E54" s="1">
        <v>2</v>
      </c>
      <c r="F54" s="7">
        <f>VLOOKUP(TB_Vendas[[#This Row],[Código]],Produtos!$B$6:$G$66,6,0)</f>
        <v>42.5</v>
      </c>
      <c r="G54" s="1" t="e">
        <f ca="1">_xlfn.XMATCH(TB_Vendas[[#This Row],[Categoria]],Desc_Categorias,0)</f>
        <v>#NAME?</v>
      </c>
      <c r="H54" s="43" t="e">
        <f ca="1">VLOOKUP(TB_Vendas[[#This Row],[Qtd]],Desc_TabelaToda,TB_Vendas[[#This Row],[Indice]],TRUE)</f>
        <v>#REF!</v>
      </c>
      <c r="I54" s="43" t="e" cm="1">
        <f t="array" aca="1" ref="I54" ca="1">INDEX(Desc_TabelaToda,MATCH(TB_Vendas[[#This Row],[Qtd]],Desc_Quantidades,1),MATCH(_xlfn.XLOOKUP(TB_Vendas[[#This Row],[Código]],TB_Produtos[[#All],[Código]],TB_Produtos[[#All],[Categoria]]),Desc_Categorias,0))</f>
        <v>#NAME?</v>
      </c>
      <c r="J54" s="43" t="e">
        <f ca="1">_xlfn.XLOOKUP(TB_Vendas[[#This Row],[Vendedor]],Vendedores!$A$5:$A$9,Vendedores!$D$5:$D$9)</f>
        <v>#NAME?</v>
      </c>
      <c r="K54" s="43" t="e">
        <f>IF(#REF!&lt;=#REF!,#REF!,#REF!)</f>
        <v>#REF!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e">
        <f ca="1">_xlfn.XLOOKUP(TB_Vendas[[#This Row],[Código]],TB_Produtos[Código],TB_Produtos[Categoria])</f>
        <v>#NAME?</v>
      </c>
      <c r="E55" s="1">
        <v>1</v>
      </c>
      <c r="F55" s="7">
        <f>VLOOKUP(TB_Vendas[[#This Row],[Código]],Produtos!$B$6:$G$66,6,0)</f>
        <v>65.900000000000006</v>
      </c>
      <c r="G55" s="1" t="e">
        <f ca="1">_xlfn.XMATCH(TB_Vendas[[#This Row],[Categoria]],Desc_Categorias,0)</f>
        <v>#NAME?</v>
      </c>
      <c r="H55" s="43" t="e">
        <f ca="1">VLOOKUP(TB_Vendas[[#This Row],[Qtd]],Desc_TabelaToda,TB_Vendas[[#This Row],[Indice]],TRUE)</f>
        <v>#REF!</v>
      </c>
      <c r="I55" s="43" t="e" cm="1">
        <f t="array" aca="1" ref="I55" ca="1">INDEX(Desc_TabelaToda,MATCH(TB_Vendas[[#This Row],[Qtd]],Desc_Quantidades,1),MATCH(_xlfn.XLOOKUP(TB_Vendas[[#This Row],[Código]],TB_Produtos[[#All],[Código]],TB_Produtos[[#All],[Categoria]]),Desc_Categorias,0))</f>
        <v>#NAME?</v>
      </c>
      <c r="J55" s="43" t="e">
        <f ca="1">_xlfn.XLOOKUP(TB_Vendas[[#This Row],[Vendedor]],Vendedores!$A$5:$A$9,Vendedores!$D$5:$D$9)</f>
        <v>#NAME?</v>
      </c>
      <c r="K55" s="43" t="e">
        <f>IF(#REF!&lt;=#REF!,#REF!,#REF!)</f>
        <v>#REF!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e">
        <f ca="1">_xlfn.XLOOKUP(TB_Vendas[[#This Row],[Código]],TB_Produtos[Código],TB_Produtos[Categoria])</f>
        <v>#NAME?</v>
      </c>
      <c r="E56" s="1">
        <v>1</v>
      </c>
      <c r="F56" s="7">
        <f>VLOOKUP(TB_Vendas[[#This Row],[Código]],Produtos!$B$6:$G$66,6,0)</f>
        <v>180</v>
      </c>
      <c r="G56" s="1" t="e">
        <f ca="1">_xlfn.XMATCH(TB_Vendas[[#This Row],[Categoria]],Desc_Categorias,0)</f>
        <v>#NAME?</v>
      </c>
      <c r="H56" s="43" t="e">
        <f ca="1">VLOOKUP(TB_Vendas[[#This Row],[Qtd]],Desc_TabelaToda,TB_Vendas[[#This Row],[Indice]],TRUE)</f>
        <v>#REF!</v>
      </c>
      <c r="I56" s="43" t="e" cm="1">
        <f t="array" aca="1" ref="I56" ca="1">INDEX(Desc_TabelaToda,MATCH(TB_Vendas[[#This Row],[Qtd]],Desc_Quantidades,1),MATCH(_xlfn.XLOOKUP(TB_Vendas[[#This Row],[Código]],TB_Produtos[[#All],[Código]],TB_Produtos[[#All],[Categoria]]),Desc_Categorias,0))</f>
        <v>#NAME?</v>
      </c>
      <c r="J56" s="43" t="e">
        <f ca="1">_xlfn.XLOOKUP(TB_Vendas[[#This Row],[Vendedor]],Vendedores!$A$5:$A$9,Vendedores!$D$5:$D$9)</f>
        <v>#NAME?</v>
      </c>
      <c r="K56" s="43" t="e">
        <f>IF(#REF!&lt;=#REF!,#REF!,#REF!)</f>
        <v>#REF!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e">
        <f ca="1">_xlfn.XLOOKUP(TB_Vendas[[#This Row],[Código]],TB_Produtos[Código],TB_Produtos[Categoria])</f>
        <v>#NAME?</v>
      </c>
      <c r="E57" s="1">
        <v>3</v>
      </c>
      <c r="F57" s="7">
        <f>VLOOKUP(TB_Vendas[[#This Row],[Código]],Produtos!$B$6:$G$66,6,0)</f>
        <v>32.9</v>
      </c>
      <c r="G57" s="1" t="e">
        <f ca="1">_xlfn.XMATCH(TB_Vendas[[#This Row],[Categoria]],Desc_Categorias,0)</f>
        <v>#NAME?</v>
      </c>
      <c r="H57" s="43" t="e">
        <f ca="1">VLOOKUP(TB_Vendas[[#This Row],[Qtd]],Desc_TabelaToda,TB_Vendas[[#This Row],[Indice]],TRUE)</f>
        <v>#REF!</v>
      </c>
      <c r="I57" s="43" t="e" cm="1">
        <f t="array" aca="1" ref="I57" ca="1">INDEX(Desc_TabelaToda,MATCH(TB_Vendas[[#This Row],[Qtd]],Desc_Quantidades,1),MATCH(_xlfn.XLOOKUP(TB_Vendas[[#This Row],[Código]],TB_Produtos[[#All],[Código]],TB_Produtos[[#All],[Categoria]]),Desc_Categorias,0))</f>
        <v>#NAME?</v>
      </c>
      <c r="J57" s="43" t="e">
        <f ca="1">_xlfn.XLOOKUP(TB_Vendas[[#This Row],[Vendedor]],Vendedores!$A$5:$A$9,Vendedores!$D$5:$D$9)</f>
        <v>#NAME?</v>
      </c>
      <c r="K57" s="43" t="e">
        <f>IF(#REF!&lt;=#REF!,#REF!,#REF!)</f>
        <v>#REF!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e">
        <f ca="1">_xlfn.XLOOKUP(TB_Vendas[[#This Row],[Código]],TB_Produtos[Código],TB_Produtos[Categoria])</f>
        <v>#NAME?</v>
      </c>
      <c r="E58" s="1">
        <v>4</v>
      </c>
      <c r="F58" s="7">
        <f>VLOOKUP(TB_Vendas[[#This Row],[Código]],Produtos!$B$6:$G$66,6,0)</f>
        <v>92.9</v>
      </c>
      <c r="G58" s="1" t="e">
        <f ca="1">_xlfn.XMATCH(TB_Vendas[[#This Row],[Categoria]],Desc_Categorias,0)</f>
        <v>#NAME?</v>
      </c>
      <c r="H58" s="43" t="e">
        <f ca="1">VLOOKUP(TB_Vendas[[#This Row],[Qtd]],Desc_TabelaToda,TB_Vendas[[#This Row],[Indice]],TRUE)</f>
        <v>#REF!</v>
      </c>
      <c r="I58" s="43" t="e" cm="1">
        <f t="array" aca="1" ref="I58" ca="1">INDEX(Desc_TabelaToda,MATCH(TB_Vendas[[#This Row],[Qtd]],Desc_Quantidades,1),MATCH(_xlfn.XLOOKUP(TB_Vendas[[#This Row],[Código]],TB_Produtos[[#All],[Código]],TB_Produtos[[#All],[Categoria]]),Desc_Categorias,0))</f>
        <v>#NAME?</v>
      </c>
      <c r="J58" s="43" t="e">
        <f ca="1">_xlfn.XLOOKUP(TB_Vendas[[#This Row],[Vendedor]],Vendedores!$A$5:$A$9,Vendedores!$D$5:$D$9)</f>
        <v>#NAME?</v>
      </c>
      <c r="K58" s="43" t="e">
        <f>IF(#REF!&lt;=#REF!,#REF!,#REF!)</f>
        <v>#REF!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e">
        <f ca="1">_xlfn.XLOOKUP(TB_Vendas[[#This Row],[Código]],TB_Produtos[Código],TB_Produtos[Categoria])</f>
        <v>#NAME?</v>
      </c>
      <c r="E59" s="1">
        <v>2</v>
      </c>
      <c r="F59" s="7">
        <f>VLOOKUP(TB_Vendas[[#This Row],[Código]],Produtos!$B$6:$G$66,6,0)</f>
        <v>259.89999999999998</v>
      </c>
      <c r="G59" s="1" t="e">
        <f ca="1">_xlfn.XMATCH(TB_Vendas[[#This Row],[Categoria]],Desc_Categorias,0)</f>
        <v>#NAME?</v>
      </c>
      <c r="H59" s="43" t="e">
        <f ca="1">VLOOKUP(TB_Vendas[[#This Row],[Qtd]],Desc_TabelaToda,TB_Vendas[[#This Row],[Indice]],TRUE)</f>
        <v>#REF!</v>
      </c>
      <c r="I59" s="43" t="e" cm="1">
        <f t="array" aca="1" ref="I59" ca="1">INDEX(Desc_TabelaToda,MATCH(TB_Vendas[[#This Row],[Qtd]],Desc_Quantidades,1),MATCH(_xlfn.XLOOKUP(TB_Vendas[[#This Row],[Código]],TB_Produtos[[#All],[Código]],TB_Produtos[[#All],[Categoria]]),Desc_Categorias,0))</f>
        <v>#NAME?</v>
      </c>
      <c r="J59" s="43" t="e">
        <f ca="1">_xlfn.XLOOKUP(TB_Vendas[[#This Row],[Vendedor]],Vendedores!$A$5:$A$9,Vendedores!$D$5:$D$9)</f>
        <v>#NAME?</v>
      </c>
      <c r="K59" s="43" t="e">
        <f>IF(#REF!&lt;=#REF!,#REF!,#REF!)</f>
        <v>#REF!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e">
        <f ca="1">_xlfn.XLOOKUP(TB_Vendas[[#This Row],[Código]],TB_Produtos[Código],TB_Produtos[Categoria])</f>
        <v>#NAME?</v>
      </c>
      <c r="E60" s="1">
        <v>1</v>
      </c>
      <c r="F60" s="7">
        <f>VLOOKUP(TB_Vendas[[#This Row],[Código]],Produtos!$B$6:$G$66,6,0)</f>
        <v>259.89999999999998</v>
      </c>
      <c r="G60" s="1" t="e">
        <f ca="1">_xlfn.XMATCH(TB_Vendas[[#This Row],[Categoria]],Desc_Categorias,0)</f>
        <v>#NAME?</v>
      </c>
      <c r="H60" s="43" t="e">
        <f ca="1">VLOOKUP(TB_Vendas[[#This Row],[Qtd]],Desc_TabelaToda,TB_Vendas[[#This Row],[Indice]],TRUE)</f>
        <v>#REF!</v>
      </c>
      <c r="I60" s="43" t="e" cm="1">
        <f t="array" aca="1" ref="I60" ca="1">INDEX(Desc_TabelaToda,MATCH(TB_Vendas[[#This Row],[Qtd]],Desc_Quantidades,1),MATCH(_xlfn.XLOOKUP(TB_Vendas[[#This Row],[Código]],TB_Produtos[[#All],[Código]],TB_Produtos[[#All],[Categoria]]),Desc_Categorias,0))</f>
        <v>#NAME?</v>
      </c>
      <c r="J60" s="43" t="e">
        <f ca="1">_xlfn.XLOOKUP(TB_Vendas[[#This Row],[Vendedor]],Vendedores!$A$5:$A$9,Vendedores!$D$5:$D$9)</f>
        <v>#NAME?</v>
      </c>
      <c r="K60" s="43" t="e">
        <f>IF(#REF!&lt;=#REF!,#REF!,#REF!)</f>
        <v>#REF!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e">
        <f ca="1">_xlfn.XLOOKUP(TB_Vendas[[#This Row],[Código]],TB_Produtos[Código],TB_Produtos[Categoria])</f>
        <v>#NAME?</v>
      </c>
      <c r="E61" s="1">
        <v>5</v>
      </c>
      <c r="F61" s="7">
        <f>VLOOKUP(TB_Vendas[[#This Row],[Código]],Produtos!$B$6:$G$66,6,0)</f>
        <v>42.5</v>
      </c>
      <c r="G61" s="1" t="e">
        <f ca="1">_xlfn.XMATCH(TB_Vendas[[#This Row],[Categoria]],Desc_Categorias,0)</f>
        <v>#NAME?</v>
      </c>
      <c r="H61" s="43" t="e">
        <f ca="1">VLOOKUP(TB_Vendas[[#This Row],[Qtd]],Desc_TabelaToda,TB_Vendas[[#This Row],[Indice]],TRUE)</f>
        <v>#REF!</v>
      </c>
      <c r="I61" s="43" t="e" cm="1">
        <f t="array" aca="1" ref="I61" ca="1">INDEX(Desc_TabelaToda,MATCH(TB_Vendas[[#This Row],[Qtd]],Desc_Quantidades,1),MATCH(_xlfn.XLOOKUP(TB_Vendas[[#This Row],[Código]],TB_Produtos[[#All],[Código]],TB_Produtos[[#All],[Categoria]]),Desc_Categorias,0))</f>
        <v>#NAME?</v>
      </c>
      <c r="J61" s="43" t="e">
        <f ca="1">_xlfn.XLOOKUP(TB_Vendas[[#This Row],[Vendedor]],Vendedores!$A$5:$A$9,Vendedores!$D$5:$D$9)</f>
        <v>#NAME?</v>
      </c>
      <c r="K61" s="43" t="e">
        <f>IF(#REF!&lt;=#REF!,#REF!,#REF!)</f>
        <v>#REF!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e">
        <f ca="1">_xlfn.XLOOKUP(TB_Vendas[[#This Row],[Código]],TB_Produtos[Código],TB_Produtos[Categoria])</f>
        <v>#NAME?</v>
      </c>
      <c r="E62" s="1">
        <v>2</v>
      </c>
      <c r="F62" s="7">
        <f>VLOOKUP(TB_Vendas[[#This Row],[Código]],Produtos!$B$6:$G$66,6,0)</f>
        <v>32.9</v>
      </c>
      <c r="G62" s="1" t="e">
        <f ca="1">_xlfn.XMATCH(TB_Vendas[[#This Row],[Categoria]],Desc_Categorias,0)</f>
        <v>#NAME?</v>
      </c>
      <c r="H62" s="43" t="e">
        <f ca="1">VLOOKUP(TB_Vendas[[#This Row],[Qtd]],Desc_TabelaToda,TB_Vendas[[#This Row],[Indice]],TRUE)</f>
        <v>#REF!</v>
      </c>
      <c r="I62" s="43" t="e" cm="1">
        <f t="array" aca="1" ref="I62" ca="1">INDEX(Desc_TabelaToda,MATCH(TB_Vendas[[#This Row],[Qtd]],Desc_Quantidades,1),MATCH(_xlfn.XLOOKUP(TB_Vendas[[#This Row],[Código]],TB_Produtos[[#All],[Código]],TB_Produtos[[#All],[Categoria]]),Desc_Categorias,0))</f>
        <v>#NAME?</v>
      </c>
      <c r="J62" s="43" t="e">
        <f ca="1">_xlfn.XLOOKUP(TB_Vendas[[#This Row],[Vendedor]],Vendedores!$A$5:$A$9,Vendedores!$D$5:$D$9)</f>
        <v>#NAME?</v>
      </c>
      <c r="K62" s="43" t="e">
        <f>IF(#REF!&lt;=#REF!,#REF!,#REF!)</f>
        <v>#REF!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e">
        <f ca="1">_xlfn.XLOOKUP(TB_Vendas[[#This Row],[Código]],TB_Produtos[Código],TB_Produtos[Categoria])</f>
        <v>#NAME?</v>
      </c>
      <c r="E63" s="1">
        <v>3</v>
      </c>
      <c r="F63" s="7">
        <f>VLOOKUP(TB_Vendas[[#This Row],[Código]],Produtos!$B$6:$G$66,6,0)</f>
        <v>92.9</v>
      </c>
      <c r="G63" s="1" t="e">
        <f ca="1">_xlfn.XMATCH(TB_Vendas[[#This Row],[Categoria]],Desc_Categorias,0)</f>
        <v>#NAME?</v>
      </c>
      <c r="H63" s="43" t="e">
        <f ca="1">VLOOKUP(TB_Vendas[[#This Row],[Qtd]],Desc_TabelaToda,TB_Vendas[[#This Row],[Indice]],TRUE)</f>
        <v>#REF!</v>
      </c>
      <c r="I63" s="43" t="e" cm="1">
        <f t="array" aca="1" ref="I63" ca="1">INDEX(Desc_TabelaToda,MATCH(TB_Vendas[[#This Row],[Qtd]],Desc_Quantidades,1),MATCH(_xlfn.XLOOKUP(TB_Vendas[[#This Row],[Código]],TB_Produtos[[#All],[Código]],TB_Produtos[[#All],[Categoria]]),Desc_Categorias,0))</f>
        <v>#NAME?</v>
      </c>
      <c r="J63" s="43" t="e">
        <f ca="1">_xlfn.XLOOKUP(TB_Vendas[[#This Row],[Vendedor]],Vendedores!$A$5:$A$9,Vendedores!$D$5:$D$9)</f>
        <v>#NAME?</v>
      </c>
      <c r="K63" s="43" t="e">
        <f>IF(#REF!&lt;=#REF!,#REF!,#REF!)</f>
        <v>#REF!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e">
        <f ca="1">_xlfn.XLOOKUP(TB_Vendas[[#This Row],[Código]],TB_Produtos[Código],TB_Produtos[Categoria])</f>
        <v>#NAME?</v>
      </c>
      <c r="E64" s="1">
        <v>10</v>
      </c>
      <c r="F64" s="7">
        <f>VLOOKUP(TB_Vendas[[#This Row],[Código]],Produtos!$B$6:$G$66,6,0)</f>
        <v>25.9</v>
      </c>
      <c r="G64" s="1" t="e">
        <f ca="1">_xlfn.XMATCH(TB_Vendas[[#This Row],[Categoria]],Desc_Categorias,0)</f>
        <v>#NAME?</v>
      </c>
      <c r="H64" s="43" t="e">
        <f ca="1">VLOOKUP(TB_Vendas[[#This Row],[Qtd]],Desc_TabelaToda,TB_Vendas[[#This Row],[Indice]],TRUE)</f>
        <v>#REF!</v>
      </c>
      <c r="I64" s="43" t="e" cm="1">
        <f t="array" aca="1" ref="I64" ca="1">INDEX(Desc_TabelaToda,MATCH(TB_Vendas[[#This Row],[Qtd]],Desc_Quantidades,1),MATCH(_xlfn.XLOOKUP(TB_Vendas[[#This Row],[Código]],TB_Produtos[[#All],[Código]],TB_Produtos[[#All],[Categoria]]),Desc_Categorias,0))</f>
        <v>#NAME?</v>
      </c>
      <c r="J64" s="43" t="e">
        <f ca="1">_xlfn.XLOOKUP(TB_Vendas[[#This Row],[Vendedor]],Vendedores!$A$5:$A$9,Vendedores!$D$5:$D$9)</f>
        <v>#NAME?</v>
      </c>
      <c r="K64" s="43" t="e">
        <f>IF(#REF!&lt;=#REF!,#REF!,#REF!)</f>
        <v>#REF!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e">
        <f ca="1">_xlfn.XLOOKUP(TB_Vendas[[#This Row],[Código]],TB_Produtos[Código],TB_Produtos[Categoria])</f>
        <v>#NAME?</v>
      </c>
      <c r="E65" s="1">
        <v>1</v>
      </c>
      <c r="F65" s="7">
        <f>VLOOKUP(TB_Vendas[[#This Row],[Código]],Produtos!$B$6:$G$66,6,0)</f>
        <v>72.5</v>
      </c>
      <c r="G65" s="1" t="e">
        <f ca="1">_xlfn.XMATCH(TB_Vendas[[#This Row],[Categoria]],Desc_Categorias,0)</f>
        <v>#NAME?</v>
      </c>
      <c r="H65" s="43" t="e">
        <f ca="1">VLOOKUP(TB_Vendas[[#This Row],[Qtd]],Desc_TabelaToda,TB_Vendas[[#This Row],[Indice]],TRUE)</f>
        <v>#REF!</v>
      </c>
      <c r="I65" s="43" t="e" cm="1">
        <f t="array" aca="1" ref="I65" ca="1">INDEX(Desc_TabelaToda,MATCH(TB_Vendas[[#This Row],[Qtd]],Desc_Quantidades,1),MATCH(_xlfn.XLOOKUP(TB_Vendas[[#This Row],[Código]],TB_Produtos[[#All],[Código]],TB_Produtos[[#All],[Categoria]]),Desc_Categorias,0))</f>
        <v>#NAME?</v>
      </c>
      <c r="J65" s="43" t="e">
        <f ca="1">_xlfn.XLOOKUP(TB_Vendas[[#This Row],[Vendedor]],Vendedores!$A$5:$A$9,Vendedores!$D$5:$D$9)</f>
        <v>#NAME?</v>
      </c>
      <c r="K65" s="43" t="e">
        <f>IF(#REF!&lt;=#REF!,#REF!,#REF!)</f>
        <v>#REF!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e">
        <f ca="1">_xlfn.XLOOKUP(TB_Vendas[[#This Row],[Código]],TB_Produtos[Código],TB_Produtos[Categoria])</f>
        <v>#NAME?</v>
      </c>
      <c r="E66" s="1">
        <v>4</v>
      </c>
      <c r="F66" s="7">
        <f>VLOOKUP(TB_Vendas[[#This Row],[Código]],Produtos!$B$6:$G$66,6,0)</f>
        <v>302.89999999999998</v>
      </c>
      <c r="G66" s="1" t="e">
        <f ca="1">_xlfn.XMATCH(TB_Vendas[[#This Row],[Categoria]],Desc_Categorias,0)</f>
        <v>#NAME?</v>
      </c>
      <c r="H66" s="43" t="e">
        <f ca="1">VLOOKUP(TB_Vendas[[#This Row],[Qtd]],Desc_TabelaToda,TB_Vendas[[#This Row],[Indice]],TRUE)</f>
        <v>#REF!</v>
      </c>
      <c r="I66" s="43" t="e" cm="1">
        <f t="array" aca="1" ref="I66" ca="1">INDEX(Desc_TabelaToda,MATCH(TB_Vendas[[#This Row],[Qtd]],Desc_Quantidades,1),MATCH(_xlfn.XLOOKUP(TB_Vendas[[#This Row],[Código]],TB_Produtos[[#All],[Código]],TB_Produtos[[#All],[Categoria]]),Desc_Categorias,0))</f>
        <v>#NAME?</v>
      </c>
      <c r="J66" s="43" t="e">
        <f ca="1">_xlfn.XLOOKUP(TB_Vendas[[#This Row],[Vendedor]],Vendedores!$A$5:$A$9,Vendedores!$D$5:$D$9)</f>
        <v>#NAME?</v>
      </c>
      <c r="K66" s="43" t="e">
        <f>IF(#REF!&lt;=#REF!,#REF!,#REF!)</f>
        <v>#REF!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e">
        <f ca="1">_xlfn.XLOOKUP(TB_Vendas[[#This Row],[Código]],TB_Produtos[Código],TB_Produtos[Categoria])</f>
        <v>#NAME?</v>
      </c>
      <c r="E67" s="1">
        <v>8</v>
      </c>
      <c r="F67" s="7">
        <f>VLOOKUP(TB_Vendas[[#This Row],[Código]],Produtos!$B$6:$G$66,6,0)</f>
        <v>289.89999999999998</v>
      </c>
      <c r="G67" s="1" t="e">
        <f ca="1">_xlfn.XMATCH(TB_Vendas[[#This Row],[Categoria]],Desc_Categorias,0)</f>
        <v>#NAME?</v>
      </c>
      <c r="H67" s="43" t="e">
        <f ca="1">VLOOKUP(TB_Vendas[[#This Row],[Qtd]],Desc_TabelaToda,TB_Vendas[[#This Row],[Indice]],TRUE)</f>
        <v>#REF!</v>
      </c>
      <c r="I67" s="43" t="e" cm="1">
        <f t="array" aca="1" ref="I67" ca="1">INDEX(Desc_TabelaToda,MATCH(TB_Vendas[[#This Row],[Qtd]],Desc_Quantidades,1),MATCH(_xlfn.XLOOKUP(TB_Vendas[[#This Row],[Código]],TB_Produtos[[#All],[Código]],TB_Produtos[[#All],[Categoria]]),Desc_Categorias,0))</f>
        <v>#NAME?</v>
      </c>
      <c r="J67" s="43" t="e">
        <f ca="1">_xlfn.XLOOKUP(TB_Vendas[[#This Row],[Vendedor]],Vendedores!$A$5:$A$9,Vendedores!$D$5:$D$9)</f>
        <v>#NAME?</v>
      </c>
      <c r="K67" s="43" t="e">
        <f>IF(#REF!&lt;=#REF!,#REF!,#REF!)</f>
        <v>#REF!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e">
        <f ca="1">_xlfn.XLOOKUP(TB_Vendas[[#This Row],[Código]],TB_Produtos[Código],TB_Produtos[Categoria])</f>
        <v>#NAME?</v>
      </c>
      <c r="E68" s="1">
        <v>2</v>
      </c>
      <c r="F68" s="7">
        <f>VLOOKUP(TB_Vendas[[#This Row],[Código]],Produtos!$B$6:$G$66,6,0)</f>
        <v>54.9</v>
      </c>
      <c r="G68" s="1" t="e">
        <f ca="1">_xlfn.XMATCH(TB_Vendas[[#This Row],[Categoria]],Desc_Categorias,0)</f>
        <v>#NAME?</v>
      </c>
      <c r="H68" s="43" t="e">
        <f ca="1">VLOOKUP(TB_Vendas[[#This Row],[Qtd]],Desc_TabelaToda,TB_Vendas[[#This Row],[Indice]],TRUE)</f>
        <v>#REF!</v>
      </c>
      <c r="I68" s="43" t="e" cm="1">
        <f t="array" aca="1" ref="I68" ca="1">INDEX(Desc_TabelaToda,MATCH(TB_Vendas[[#This Row],[Qtd]],Desc_Quantidades,1),MATCH(_xlfn.XLOOKUP(TB_Vendas[[#This Row],[Código]],TB_Produtos[[#All],[Código]],TB_Produtos[[#All],[Categoria]]),Desc_Categorias,0))</f>
        <v>#NAME?</v>
      </c>
      <c r="J68" s="43" t="e">
        <f ca="1">_xlfn.XLOOKUP(TB_Vendas[[#This Row],[Vendedor]],Vendedores!$A$5:$A$9,Vendedores!$D$5:$D$9)</f>
        <v>#NAME?</v>
      </c>
      <c r="K68" s="43" t="e">
        <f>IF(#REF!&lt;=#REF!,#REF!,#REF!)</f>
        <v>#REF!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e">
        <f ca="1">_xlfn.XLOOKUP(TB_Vendas[[#This Row],[Código]],TB_Produtos[Código],TB_Produtos[Categoria])</f>
        <v>#NAME?</v>
      </c>
      <c r="E69" s="1">
        <v>2</v>
      </c>
      <c r="F69" s="7">
        <f>VLOOKUP(TB_Vendas[[#This Row],[Código]],Produtos!$B$6:$G$66,6,0)</f>
        <v>39.9</v>
      </c>
      <c r="G69" s="1" t="e">
        <f ca="1">_xlfn.XMATCH(TB_Vendas[[#This Row],[Categoria]],Desc_Categorias,0)</f>
        <v>#NAME?</v>
      </c>
      <c r="H69" s="43" t="e">
        <f ca="1">VLOOKUP(TB_Vendas[[#This Row],[Qtd]],Desc_TabelaToda,TB_Vendas[[#This Row],[Indice]],TRUE)</f>
        <v>#REF!</v>
      </c>
      <c r="I69" s="43" t="e" cm="1">
        <f t="array" aca="1" ref="I69" ca="1">INDEX(Desc_TabelaToda,MATCH(TB_Vendas[[#This Row],[Qtd]],Desc_Quantidades,1),MATCH(_xlfn.XLOOKUP(TB_Vendas[[#This Row],[Código]],TB_Produtos[[#All],[Código]],TB_Produtos[[#All],[Categoria]]),Desc_Categorias,0))</f>
        <v>#NAME?</v>
      </c>
      <c r="J69" s="43" t="e">
        <f ca="1">_xlfn.XLOOKUP(TB_Vendas[[#This Row],[Vendedor]],Vendedores!$A$5:$A$9,Vendedores!$D$5:$D$9)</f>
        <v>#NAME?</v>
      </c>
      <c r="K69" s="43" t="e">
        <f>IF(#REF!&lt;=#REF!,#REF!,#REF!)</f>
        <v>#REF!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e">
        <f ca="1">_xlfn.XLOOKUP(TB_Vendas[[#This Row],[Código]],TB_Produtos[Código],TB_Produtos[Categoria])</f>
        <v>#NAME?</v>
      </c>
      <c r="E70" s="1">
        <v>7</v>
      </c>
      <c r="F70" s="7">
        <f>VLOOKUP(TB_Vendas[[#This Row],[Código]],Produtos!$B$6:$G$66,6,0)</f>
        <v>54.9</v>
      </c>
      <c r="G70" s="1" t="e">
        <f ca="1">_xlfn.XMATCH(TB_Vendas[[#This Row],[Categoria]],Desc_Categorias,0)</f>
        <v>#NAME?</v>
      </c>
      <c r="H70" s="43" t="e">
        <f ca="1">VLOOKUP(TB_Vendas[[#This Row],[Qtd]],Desc_TabelaToda,TB_Vendas[[#This Row],[Indice]],TRUE)</f>
        <v>#REF!</v>
      </c>
      <c r="I70" s="43" t="e" cm="1">
        <f t="array" aca="1" ref="I70" ca="1">INDEX(Desc_TabelaToda,MATCH(TB_Vendas[[#This Row],[Qtd]],Desc_Quantidades,1),MATCH(_xlfn.XLOOKUP(TB_Vendas[[#This Row],[Código]],TB_Produtos[[#All],[Código]],TB_Produtos[[#All],[Categoria]]),Desc_Categorias,0))</f>
        <v>#NAME?</v>
      </c>
      <c r="J70" s="43" t="e">
        <f ca="1">_xlfn.XLOOKUP(TB_Vendas[[#This Row],[Vendedor]],Vendedores!$A$5:$A$9,Vendedores!$D$5:$D$9)</f>
        <v>#NAME?</v>
      </c>
      <c r="K70" s="43" t="e">
        <f>IF(#REF!&lt;=#REF!,#REF!,#REF!)</f>
        <v>#REF!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e">
        <f ca="1">_xlfn.XLOOKUP(TB_Vendas[[#This Row],[Código]],TB_Produtos[Código],TB_Produtos[Categoria])</f>
        <v>#NAME?</v>
      </c>
      <c r="E71" s="1">
        <v>4</v>
      </c>
      <c r="F71" s="7">
        <f>VLOOKUP(TB_Vendas[[#This Row],[Código]],Produtos!$B$6:$G$66,6,0)</f>
        <v>299.89999999999998</v>
      </c>
      <c r="G71" s="1" t="e">
        <f ca="1">_xlfn.XMATCH(TB_Vendas[[#This Row],[Categoria]],Desc_Categorias,0)</f>
        <v>#NAME?</v>
      </c>
      <c r="H71" s="43" t="e">
        <f ca="1">VLOOKUP(TB_Vendas[[#This Row],[Qtd]],Desc_TabelaToda,TB_Vendas[[#This Row],[Indice]],TRUE)</f>
        <v>#REF!</v>
      </c>
      <c r="I71" s="43" t="e" cm="1">
        <f t="array" aca="1" ref="I71" ca="1">INDEX(Desc_TabelaToda,MATCH(TB_Vendas[[#This Row],[Qtd]],Desc_Quantidades,1),MATCH(_xlfn.XLOOKUP(TB_Vendas[[#This Row],[Código]],TB_Produtos[[#All],[Código]],TB_Produtos[[#All],[Categoria]]),Desc_Categorias,0))</f>
        <v>#NAME?</v>
      </c>
      <c r="J71" s="43" t="e">
        <f ca="1">_xlfn.XLOOKUP(TB_Vendas[[#This Row],[Vendedor]],Vendedores!$A$5:$A$9,Vendedores!$D$5:$D$9)</f>
        <v>#NAME?</v>
      </c>
      <c r="K71" s="43" t="e">
        <f>IF(#REF!&lt;=#REF!,#REF!,#REF!)</f>
        <v>#REF!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e">
        <f ca="1">_xlfn.XLOOKUP(TB_Vendas[[#This Row],[Código]],TB_Produtos[Código],TB_Produtos[Categoria])</f>
        <v>#NAME?</v>
      </c>
      <c r="E72" s="1">
        <v>3</v>
      </c>
      <c r="F72" s="7">
        <f>VLOOKUP(TB_Vendas[[#This Row],[Código]],Produtos!$B$6:$G$66,6,0)</f>
        <v>259.89999999999998</v>
      </c>
      <c r="G72" s="1" t="e">
        <f ca="1">_xlfn.XMATCH(TB_Vendas[[#This Row],[Categoria]],Desc_Categorias,0)</f>
        <v>#NAME?</v>
      </c>
      <c r="H72" s="43" t="e">
        <f ca="1">VLOOKUP(TB_Vendas[[#This Row],[Qtd]],Desc_TabelaToda,TB_Vendas[[#This Row],[Indice]],TRUE)</f>
        <v>#REF!</v>
      </c>
      <c r="I72" s="43" t="e" cm="1">
        <f t="array" aca="1" ref="I72" ca="1">INDEX(Desc_TabelaToda,MATCH(TB_Vendas[[#This Row],[Qtd]],Desc_Quantidades,1),MATCH(_xlfn.XLOOKUP(TB_Vendas[[#This Row],[Código]],TB_Produtos[[#All],[Código]],TB_Produtos[[#All],[Categoria]]),Desc_Categorias,0))</f>
        <v>#NAME?</v>
      </c>
      <c r="J72" s="43" t="e">
        <f ca="1">_xlfn.XLOOKUP(TB_Vendas[[#This Row],[Vendedor]],Vendedores!$A$5:$A$9,Vendedores!$D$5:$D$9)</f>
        <v>#NAME?</v>
      </c>
      <c r="K72" s="43" t="e">
        <f>IF(#REF!&lt;=#REF!,#REF!,#REF!)</f>
        <v>#REF!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e">
        <f ca="1">_xlfn.XLOOKUP(TB_Vendas[[#This Row],[Código]],TB_Produtos[Código],TB_Produtos[Categoria])</f>
        <v>#NAME?</v>
      </c>
      <c r="E73" s="1">
        <v>9</v>
      </c>
      <c r="F73" s="7">
        <f>VLOOKUP(TB_Vendas[[#This Row],[Código]],Produtos!$B$6:$G$66,6,0)</f>
        <v>72.5</v>
      </c>
      <c r="G73" s="1" t="e">
        <f ca="1">_xlfn.XMATCH(TB_Vendas[[#This Row],[Categoria]],Desc_Categorias,0)</f>
        <v>#NAME?</v>
      </c>
      <c r="H73" s="43" t="e">
        <f ca="1">VLOOKUP(TB_Vendas[[#This Row],[Qtd]],Desc_TabelaToda,TB_Vendas[[#This Row],[Indice]],TRUE)</f>
        <v>#REF!</v>
      </c>
      <c r="I73" s="43" t="e" cm="1">
        <f t="array" aca="1" ref="I73" ca="1">INDEX(Desc_TabelaToda,MATCH(TB_Vendas[[#This Row],[Qtd]],Desc_Quantidades,1),MATCH(_xlfn.XLOOKUP(TB_Vendas[[#This Row],[Código]],TB_Produtos[[#All],[Código]],TB_Produtos[[#All],[Categoria]]),Desc_Categorias,0))</f>
        <v>#NAME?</v>
      </c>
      <c r="J73" s="43" t="e">
        <f ca="1">_xlfn.XLOOKUP(TB_Vendas[[#This Row],[Vendedor]],Vendedores!$A$5:$A$9,Vendedores!$D$5:$D$9)</f>
        <v>#NAME?</v>
      </c>
      <c r="K73" s="43" t="e">
        <f>IF(#REF!&lt;=#REF!,#REF!,#REF!)</f>
        <v>#REF!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e">
        <f ca="1">_xlfn.XLOOKUP(TB_Vendas[[#This Row],[Código]],TB_Produtos[Código],TB_Produtos[Categoria])</f>
        <v>#NAME?</v>
      </c>
      <c r="E74" s="1">
        <v>4</v>
      </c>
      <c r="F74" s="7">
        <f>VLOOKUP(TB_Vendas[[#This Row],[Código]],Produtos!$B$6:$G$66,6,0)</f>
        <v>300</v>
      </c>
      <c r="G74" s="1" t="e">
        <f ca="1">_xlfn.XMATCH(TB_Vendas[[#This Row],[Categoria]],Desc_Categorias,0)</f>
        <v>#NAME?</v>
      </c>
      <c r="H74" s="43" t="e">
        <f ca="1">VLOOKUP(TB_Vendas[[#This Row],[Qtd]],Desc_TabelaToda,TB_Vendas[[#This Row],[Indice]],TRUE)</f>
        <v>#REF!</v>
      </c>
      <c r="I74" s="43" t="e" cm="1">
        <f t="array" aca="1" ref="I74" ca="1">INDEX(Desc_TabelaToda,MATCH(TB_Vendas[[#This Row],[Qtd]],Desc_Quantidades,1),MATCH(_xlfn.XLOOKUP(TB_Vendas[[#This Row],[Código]],TB_Produtos[[#All],[Código]],TB_Produtos[[#All],[Categoria]]),Desc_Categorias,0))</f>
        <v>#NAME?</v>
      </c>
      <c r="J74" s="43" t="e">
        <f ca="1">_xlfn.XLOOKUP(TB_Vendas[[#This Row],[Vendedor]],Vendedores!$A$5:$A$9,Vendedores!$D$5:$D$9)</f>
        <v>#NAME?</v>
      </c>
      <c r="K74" s="43" t="e">
        <f>IF(#REF!&lt;=#REF!,#REF!,#REF!)</f>
        <v>#REF!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e">
        <f ca="1">_xlfn.XLOOKUP(TB_Vendas[[#This Row],[Código]],TB_Produtos[Código],TB_Produtos[Categoria])</f>
        <v>#NAME?</v>
      </c>
      <c r="E75" s="1">
        <v>9</v>
      </c>
      <c r="F75" s="7">
        <f>VLOOKUP(TB_Vendas[[#This Row],[Código]],Produtos!$B$6:$G$66,6,0)</f>
        <v>65.900000000000006</v>
      </c>
      <c r="G75" s="1" t="e">
        <f ca="1">_xlfn.XMATCH(TB_Vendas[[#This Row],[Categoria]],Desc_Categorias,0)</f>
        <v>#NAME?</v>
      </c>
      <c r="H75" s="43" t="e">
        <f ca="1">VLOOKUP(TB_Vendas[[#This Row],[Qtd]],Desc_TabelaToda,TB_Vendas[[#This Row],[Indice]],TRUE)</f>
        <v>#REF!</v>
      </c>
      <c r="I75" s="43" t="e" cm="1">
        <f t="array" aca="1" ref="I75" ca="1">INDEX(Desc_TabelaToda,MATCH(TB_Vendas[[#This Row],[Qtd]],Desc_Quantidades,1),MATCH(_xlfn.XLOOKUP(TB_Vendas[[#This Row],[Código]],TB_Produtos[[#All],[Código]],TB_Produtos[[#All],[Categoria]]),Desc_Categorias,0))</f>
        <v>#NAME?</v>
      </c>
      <c r="J75" s="43" t="e">
        <f ca="1">_xlfn.XLOOKUP(TB_Vendas[[#This Row],[Vendedor]],Vendedores!$A$5:$A$9,Vendedores!$D$5:$D$9)</f>
        <v>#NAME?</v>
      </c>
      <c r="K75" s="43" t="e">
        <f>IF(#REF!&lt;=#REF!,#REF!,#REF!)</f>
        <v>#REF!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e">
        <f ca="1">_xlfn.XLOOKUP(TB_Vendas[[#This Row],[Código]],TB_Produtos[Código],TB_Produtos[Categoria])</f>
        <v>#NAME?</v>
      </c>
      <c r="E76" s="1">
        <v>10</v>
      </c>
      <c r="F76" s="7">
        <f>VLOOKUP(TB_Vendas[[#This Row],[Código]],Produtos!$B$6:$G$66,6,0)</f>
        <v>92.9</v>
      </c>
      <c r="G76" s="1" t="e">
        <f ca="1">_xlfn.XMATCH(TB_Vendas[[#This Row],[Categoria]],Desc_Categorias,0)</f>
        <v>#NAME?</v>
      </c>
      <c r="H76" s="43" t="e">
        <f ca="1">VLOOKUP(TB_Vendas[[#This Row],[Qtd]],Desc_TabelaToda,TB_Vendas[[#This Row],[Indice]],TRUE)</f>
        <v>#REF!</v>
      </c>
      <c r="I76" s="43" t="e" cm="1">
        <f t="array" aca="1" ref="I76" ca="1">INDEX(Desc_TabelaToda,MATCH(TB_Vendas[[#This Row],[Qtd]],Desc_Quantidades,1),MATCH(_xlfn.XLOOKUP(TB_Vendas[[#This Row],[Código]],TB_Produtos[[#All],[Código]],TB_Produtos[[#All],[Categoria]]),Desc_Categorias,0))</f>
        <v>#NAME?</v>
      </c>
      <c r="J76" s="43" t="e">
        <f ca="1">_xlfn.XLOOKUP(TB_Vendas[[#This Row],[Vendedor]],Vendedores!$A$5:$A$9,Vendedores!$D$5:$D$9)</f>
        <v>#NAME?</v>
      </c>
      <c r="K76" s="43" t="e">
        <f>IF(#REF!&lt;=#REF!,#REF!,#REF!)</f>
        <v>#REF!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e">
        <f ca="1">_xlfn.XLOOKUP(TB_Vendas[[#This Row],[Código]],TB_Produtos[Código],TB_Produtos[Categoria])</f>
        <v>#NAME?</v>
      </c>
      <c r="E77" s="1">
        <v>1</v>
      </c>
      <c r="F77" s="7">
        <f>VLOOKUP(TB_Vendas[[#This Row],[Código]],Produtos!$B$6:$G$66,6,0)</f>
        <v>89.9</v>
      </c>
      <c r="G77" s="1" t="e">
        <f ca="1">_xlfn.XMATCH(TB_Vendas[[#This Row],[Categoria]],Desc_Categorias,0)</f>
        <v>#NAME?</v>
      </c>
      <c r="H77" s="43" t="e">
        <f ca="1">VLOOKUP(TB_Vendas[[#This Row],[Qtd]],Desc_TabelaToda,TB_Vendas[[#This Row],[Indice]],TRUE)</f>
        <v>#REF!</v>
      </c>
      <c r="I77" s="43" t="e" cm="1">
        <f t="array" aca="1" ref="I77" ca="1">INDEX(Desc_TabelaToda,MATCH(TB_Vendas[[#This Row],[Qtd]],Desc_Quantidades,1),MATCH(_xlfn.XLOOKUP(TB_Vendas[[#This Row],[Código]],TB_Produtos[[#All],[Código]],TB_Produtos[[#All],[Categoria]]),Desc_Categorias,0))</f>
        <v>#NAME?</v>
      </c>
      <c r="J77" s="43" t="e">
        <f ca="1">_xlfn.XLOOKUP(TB_Vendas[[#This Row],[Vendedor]],Vendedores!$A$5:$A$9,Vendedores!$D$5:$D$9)</f>
        <v>#NAME?</v>
      </c>
      <c r="K77" s="43" t="e">
        <f>IF(#REF!&lt;=#REF!,#REF!,#REF!)</f>
        <v>#REF!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e">
        <f ca="1">_xlfn.XLOOKUP(TB_Vendas[[#This Row],[Código]],TB_Produtos[Código],TB_Produtos[Categoria])</f>
        <v>#NAME?</v>
      </c>
      <c r="E78" s="1">
        <v>2</v>
      </c>
      <c r="F78" s="7">
        <f>VLOOKUP(TB_Vendas[[#This Row],[Código]],Produtos!$B$6:$G$66,6,0)</f>
        <v>49.9</v>
      </c>
      <c r="G78" s="1" t="e">
        <f ca="1">_xlfn.XMATCH(TB_Vendas[[#This Row],[Categoria]],Desc_Categorias,0)</f>
        <v>#NAME?</v>
      </c>
      <c r="H78" s="43" t="e">
        <f ca="1">VLOOKUP(TB_Vendas[[#This Row],[Qtd]],Desc_TabelaToda,TB_Vendas[[#This Row],[Indice]],TRUE)</f>
        <v>#REF!</v>
      </c>
      <c r="I78" s="43" t="e" cm="1">
        <f t="array" aca="1" ref="I78" ca="1">INDEX(Desc_TabelaToda,MATCH(TB_Vendas[[#This Row],[Qtd]],Desc_Quantidades,1),MATCH(_xlfn.XLOOKUP(TB_Vendas[[#This Row],[Código]],TB_Produtos[[#All],[Código]],TB_Produtos[[#All],[Categoria]]),Desc_Categorias,0))</f>
        <v>#NAME?</v>
      </c>
      <c r="J78" s="43" t="e">
        <f ca="1">_xlfn.XLOOKUP(TB_Vendas[[#This Row],[Vendedor]],Vendedores!$A$5:$A$9,Vendedores!$D$5:$D$9)</f>
        <v>#NAME?</v>
      </c>
      <c r="K78" s="43" t="e">
        <f>IF(#REF!&lt;=#REF!,#REF!,#REF!)</f>
        <v>#REF!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e">
        <f ca="1">_xlfn.XLOOKUP(TB_Vendas[[#This Row],[Código]],TB_Produtos[Código],TB_Produtos[Categoria])</f>
        <v>#NAME?</v>
      </c>
      <c r="E79" s="1">
        <v>8</v>
      </c>
      <c r="F79" s="7">
        <f>VLOOKUP(TB_Vendas[[#This Row],[Código]],Produtos!$B$6:$G$66,6,0)</f>
        <v>70</v>
      </c>
      <c r="G79" s="1" t="e">
        <f ca="1">_xlfn.XMATCH(TB_Vendas[[#This Row],[Categoria]],Desc_Categorias,0)</f>
        <v>#NAME?</v>
      </c>
      <c r="H79" s="43" t="e">
        <f ca="1">VLOOKUP(TB_Vendas[[#This Row],[Qtd]],Desc_TabelaToda,TB_Vendas[[#This Row],[Indice]],TRUE)</f>
        <v>#REF!</v>
      </c>
      <c r="I79" s="43" t="e" cm="1">
        <f t="array" aca="1" ref="I79" ca="1">INDEX(Desc_TabelaToda,MATCH(TB_Vendas[[#This Row],[Qtd]],Desc_Quantidades,1),MATCH(_xlfn.XLOOKUP(TB_Vendas[[#This Row],[Código]],TB_Produtos[[#All],[Código]],TB_Produtos[[#All],[Categoria]]),Desc_Categorias,0))</f>
        <v>#NAME?</v>
      </c>
      <c r="J79" s="43" t="e">
        <f ca="1">_xlfn.XLOOKUP(TB_Vendas[[#This Row],[Vendedor]],Vendedores!$A$5:$A$9,Vendedores!$D$5:$D$9)</f>
        <v>#NAME?</v>
      </c>
      <c r="K79" s="43" t="e">
        <f>IF(#REF!&lt;=#REF!,#REF!,#REF!)</f>
        <v>#REF!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e">
        <f ca="1">_xlfn.XLOOKUP(TB_Vendas[[#This Row],[Código]],TB_Produtos[Código],TB_Produtos[Categoria])</f>
        <v>#NAME?</v>
      </c>
      <c r="E80" s="1">
        <v>5</v>
      </c>
      <c r="F80" s="7">
        <f>VLOOKUP(TB_Vendas[[#This Row],[Código]],Produtos!$B$6:$G$66,6,0)</f>
        <v>46.9</v>
      </c>
      <c r="G80" s="1" t="e">
        <f ca="1">_xlfn.XMATCH(TB_Vendas[[#This Row],[Categoria]],Desc_Categorias,0)</f>
        <v>#NAME?</v>
      </c>
      <c r="H80" s="43" t="e">
        <f ca="1">VLOOKUP(TB_Vendas[[#This Row],[Qtd]],Desc_TabelaToda,TB_Vendas[[#This Row],[Indice]],TRUE)</f>
        <v>#REF!</v>
      </c>
      <c r="I80" s="43" t="e" cm="1">
        <f t="array" aca="1" ref="I80" ca="1">INDEX(Desc_TabelaToda,MATCH(TB_Vendas[[#This Row],[Qtd]],Desc_Quantidades,1),MATCH(_xlfn.XLOOKUP(TB_Vendas[[#This Row],[Código]],TB_Produtos[[#All],[Código]],TB_Produtos[[#All],[Categoria]]),Desc_Categorias,0))</f>
        <v>#NAME?</v>
      </c>
      <c r="J80" s="43" t="e">
        <f ca="1">_xlfn.XLOOKUP(TB_Vendas[[#This Row],[Vendedor]],Vendedores!$A$5:$A$9,Vendedores!$D$5:$D$9)</f>
        <v>#NAME?</v>
      </c>
      <c r="K80" s="43" t="e">
        <f>IF(#REF!&lt;=#REF!,#REF!,#REF!)</f>
        <v>#REF!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e">
        <f ca="1">_xlfn.XLOOKUP(TB_Vendas[[#This Row],[Código]],TB_Produtos[Código],TB_Produtos[Categoria])</f>
        <v>#NAME?</v>
      </c>
      <c r="E81" s="1">
        <v>10</v>
      </c>
      <c r="F81" s="7">
        <f>VLOOKUP(TB_Vendas[[#This Row],[Código]],Produtos!$B$6:$G$66,6,0)</f>
        <v>289.89999999999998</v>
      </c>
      <c r="G81" s="1" t="e">
        <f ca="1">_xlfn.XMATCH(TB_Vendas[[#This Row],[Categoria]],Desc_Categorias,0)</f>
        <v>#NAME?</v>
      </c>
      <c r="H81" s="43" t="e">
        <f ca="1">VLOOKUP(TB_Vendas[[#This Row],[Qtd]],Desc_TabelaToda,TB_Vendas[[#This Row],[Indice]],TRUE)</f>
        <v>#REF!</v>
      </c>
      <c r="I81" s="43" t="e" cm="1">
        <f t="array" aca="1" ref="I81" ca="1">INDEX(Desc_TabelaToda,MATCH(TB_Vendas[[#This Row],[Qtd]],Desc_Quantidades,1),MATCH(_xlfn.XLOOKUP(TB_Vendas[[#This Row],[Código]],TB_Produtos[[#All],[Código]],TB_Produtos[[#All],[Categoria]]),Desc_Categorias,0))</f>
        <v>#NAME?</v>
      </c>
      <c r="J81" s="43" t="e">
        <f ca="1">_xlfn.XLOOKUP(TB_Vendas[[#This Row],[Vendedor]],Vendedores!$A$5:$A$9,Vendedores!$D$5:$D$9)</f>
        <v>#NAME?</v>
      </c>
      <c r="K81" s="43" t="e">
        <f>IF(#REF!&lt;=#REF!,#REF!,#REF!)</f>
        <v>#REF!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e">
        <f ca="1">_xlfn.XLOOKUP(TB_Vendas[[#This Row],[Código]],TB_Produtos[Código],TB_Produtos[Categoria])</f>
        <v>#NAME?</v>
      </c>
      <c r="E82" s="1">
        <v>1</v>
      </c>
      <c r="F82" s="7">
        <f>VLOOKUP(TB_Vendas[[#This Row],[Código]],Produtos!$B$6:$G$66,6,0)</f>
        <v>42.5</v>
      </c>
      <c r="G82" s="1" t="e">
        <f ca="1">_xlfn.XMATCH(TB_Vendas[[#This Row],[Categoria]],Desc_Categorias,0)</f>
        <v>#NAME?</v>
      </c>
      <c r="H82" s="43" t="e">
        <f ca="1">VLOOKUP(TB_Vendas[[#This Row],[Qtd]],Desc_TabelaToda,TB_Vendas[[#This Row],[Indice]],TRUE)</f>
        <v>#REF!</v>
      </c>
      <c r="I82" s="43" t="e" cm="1">
        <f t="array" aca="1" ref="I82" ca="1">INDEX(Desc_TabelaToda,MATCH(TB_Vendas[[#This Row],[Qtd]],Desc_Quantidades,1),MATCH(_xlfn.XLOOKUP(TB_Vendas[[#This Row],[Código]],TB_Produtos[[#All],[Código]],TB_Produtos[[#All],[Categoria]]),Desc_Categorias,0))</f>
        <v>#NAME?</v>
      </c>
      <c r="J82" s="43" t="e">
        <f ca="1">_xlfn.XLOOKUP(TB_Vendas[[#This Row],[Vendedor]],Vendedores!$A$5:$A$9,Vendedores!$D$5:$D$9)</f>
        <v>#NAME?</v>
      </c>
      <c r="K82" s="43" t="e">
        <f>IF(#REF!&lt;=#REF!,#REF!,#REF!)</f>
        <v>#REF!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e">
        <f ca="1">_xlfn.XLOOKUP(TB_Vendas[[#This Row],[Código]],TB_Produtos[Código],TB_Produtos[Categoria])</f>
        <v>#NAME?</v>
      </c>
      <c r="E83" s="1">
        <v>2</v>
      </c>
      <c r="F83" s="7">
        <f>VLOOKUP(TB_Vendas[[#This Row],[Código]],Produtos!$B$6:$G$66,6,0)</f>
        <v>89.9</v>
      </c>
      <c r="G83" s="1" t="e">
        <f ca="1">_xlfn.XMATCH(TB_Vendas[[#This Row],[Categoria]],Desc_Categorias,0)</f>
        <v>#NAME?</v>
      </c>
      <c r="H83" s="43" t="e">
        <f ca="1">VLOOKUP(TB_Vendas[[#This Row],[Qtd]],Desc_TabelaToda,TB_Vendas[[#This Row],[Indice]],TRUE)</f>
        <v>#REF!</v>
      </c>
      <c r="I83" s="43" t="e" cm="1">
        <f t="array" aca="1" ref="I83" ca="1">INDEX(Desc_TabelaToda,MATCH(TB_Vendas[[#This Row],[Qtd]],Desc_Quantidades,1),MATCH(_xlfn.XLOOKUP(TB_Vendas[[#This Row],[Código]],TB_Produtos[[#All],[Código]],TB_Produtos[[#All],[Categoria]]),Desc_Categorias,0))</f>
        <v>#NAME?</v>
      </c>
      <c r="J83" s="43" t="e">
        <f ca="1">_xlfn.XLOOKUP(TB_Vendas[[#This Row],[Vendedor]],Vendedores!$A$5:$A$9,Vendedores!$D$5:$D$9)</f>
        <v>#NAME?</v>
      </c>
      <c r="K83" s="43" t="e">
        <f>IF(#REF!&lt;=#REF!,#REF!,#REF!)</f>
        <v>#REF!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e">
        <f ca="1">_xlfn.XLOOKUP(TB_Vendas[[#This Row],[Código]],TB_Produtos[Código],TB_Produtos[Categoria])</f>
        <v>#NAME?</v>
      </c>
      <c r="E84" s="1">
        <v>3</v>
      </c>
      <c r="F84" s="7">
        <f>VLOOKUP(TB_Vendas[[#This Row],[Código]],Produtos!$B$6:$G$66,6,0)</f>
        <v>255</v>
      </c>
      <c r="G84" s="1" t="e">
        <f ca="1">_xlfn.XMATCH(TB_Vendas[[#This Row],[Categoria]],Desc_Categorias,0)</f>
        <v>#NAME?</v>
      </c>
      <c r="H84" s="43" t="e">
        <f ca="1">VLOOKUP(TB_Vendas[[#This Row],[Qtd]],Desc_TabelaToda,TB_Vendas[[#This Row],[Indice]],TRUE)</f>
        <v>#REF!</v>
      </c>
      <c r="I84" s="43" t="e" cm="1">
        <f t="array" aca="1" ref="I84" ca="1">INDEX(Desc_TabelaToda,MATCH(TB_Vendas[[#This Row],[Qtd]],Desc_Quantidades,1),MATCH(_xlfn.XLOOKUP(TB_Vendas[[#This Row],[Código]],TB_Produtos[[#All],[Código]],TB_Produtos[[#All],[Categoria]]),Desc_Categorias,0))</f>
        <v>#NAME?</v>
      </c>
      <c r="J84" s="43" t="e">
        <f ca="1">_xlfn.XLOOKUP(TB_Vendas[[#This Row],[Vendedor]],Vendedores!$A$5:$A$9,Vendedores!$D$5:$D$9)</f>
        <v>#NAME?</v>
      </c>
      <c r="K84" s="43" t="e">
        <f>IF(#REF!&lt;=#REF!,#REF!,#REF!)</f>
        <v>#REF!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e">
        <f ca="1">_xlfn.XLOOKUP(TB_Vendas[[#This Row],[Código]],TB_Produtos[Código],TB_Produtos[Categoria])</f>
        <v>#NAME?</v>
      </c>
      <c r="E85" s="1">
        <v>6</v>
      </c>
      <c r="F85" s="7">
        <f>VLOOKUP(TB_Vendas[[#This Row],[Código]],Produtos!$B$6:$G$66,6,0)</f>
        <v>42.5</v>
      </c>
      <c r="G85" s="1" t="e">
        <f ca="1">_xlfn.XMATCH(TB_Vendas[[#This Row],[Categoria]],Desc_Categorias,0)</f>
        <v>#NAME?</v>
      </c>
      <c r="H85" s="43" t="e">
        <f ca="1">VLOOKUP(TB_Vendas[[#This Row],[Qtd]],Desc_TabelaToda,TB_Vendas[[#This Row],[Indice]],TRUE)</f>
        <v>#REF!</v>
      </c>
      <c r="I85" s="43" t="e" cm="1">
        <f t="array" aca="1" ref="I85" ca="1">INDEX(Desc_TabelaToda,MATCH(TB_Vendas[[#This Row],[Qtd]],Desc_Quantidades,1),MATCH(_xlfn.XLOOKUP(TB_Vendas[[#This Row],[Código]],TB_Produtos[[#All],[Código]],TB_Produtos[[#All],[Categoria]]),Desc_Categorias,0))</f>
        <v>#NAME?</v>
      </c>
      <c r="J85" s="43" t="e">
        <f ca="1">_xlfn.XLOOKUP(TB_Vendas[[#This Row],[Vendedor]],Vendedores!$A$5:$A$9,Vendedores!$D$5:$D$9)</f>
        <v>#NAME?</v>
      </c>
      <c r="K85" s="43" t="e">
        <f>IF(#REF!&lt;=#REF!,#REF!,#REF!)</f>
        <v>#REF!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e">
        <f ca="1">_xlfn.XLOOKUP(TB_Vendas[[#This Row],[Código]],TB_Produtos[Código],TB_Produtos[Categoria])</f>
        <v>#NAME?</v>
      </c>
      <c r="E86" s="1">
        <v>8</v>
      </c>
      <c r="F86" s="7">
        <f>VLOOKUP(TB_Vendas[[#This Row],[Código]],Produtos!$B$6:$G$66,6,0)</f>
        <v>39.9</v>
      </c>
      <c r="G86" s="1" t="e">
        <f ca="1">_xlfn.XMATCH(TB_Vendas[[#This Row],[Categoria]],Desc_Categorias,0)</f>
        <v>#NAME?</v>
      </c>
      <c r="H86" s="43" t="e">
        <f ca="1">VLOOKUP(TB_Vendas[[#This Row],[Qtd]],Desc_TabelaToda,TB_Vendas[[#This Row],[Indice]],TRUE)</f>
        <v>#REF!</v>
      </c>
      <c r="I86" s="43" t="e" cm="1">
        <f t="array" aca="1" ref="I86" ca="1">INDEX(Desc_TabelaToda,MATCH(TB_Vendas[[#This Row],[Qtd]],Desc_Quantidades,1),MATCH(_xlfn.XLOOKUP(TB_Vendas[[#This Row],[Código]],TB_Produtos[[#All],[Código]],TB_Produtos[[#All],[Categoria]]),Desc_Categorias,0))</f>
        <v>#NAME?</v>
      </c>
      <c r="J86" s="43" t="e">
        <f ca="1">_xlfn.XLOOKUP(TB_Vendas[[#This Row],[Vendedor]],Vendedores!$A$5:$A$9,Vendedores!$D$5:$D$9)</f>
        <v>#NAME?</v>
      </c>
      <c r="K86" s="43" t="e">
        <f>IF(#REF!&lt;=#REF!,#REF!,#REF!)</f>
        <v>#REF!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5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5"/>
  <dimension ref="A1:H253"/>
  <sheetViews>
    <sheetView zoomScale="130" zoomScaleNormal="130" workbookViewId="0">
      <selection activeCell="G5" sqref="G5"/>
    </sheetView>
  </sheetViews>
  <sheetFormatPr defaultRowHeight="15"/>
  <cols>
    <col min="1" max="1" width="11" bestFit="1" customWidth="1"/>
    <col min="2" max="2" width="9.140625" bestFit="1" customWidth="1"/>
    <col min="3" max="3" width="11.28515625" bestFit="1" customWidth="1"/>
    <col min="4" max="4" width="6.28515625" bestFit="1" customWidth="1"/>
    <col min="5" max="5" width="15.28515625" bestFit="1" customWidth="1"/>
    <col min="6" max="6" width="15.5703125" bestFit="1" customWidth="1"/>
    <col min="7" max="7" width="7.42578125" bestFit="1" customWidth="1"/>
    <col min="8" max="8" width="11.57031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0" t="s">
        <v>140</v>
      </c>
      <c r="C4" s="80"/>
      <c r="D4" s="15"/>
      <c r="E4" s="80" t="s">
        <v>147</v>
      </c>
      <c r="F4" s="80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e">
        <f ca="1">_xlfn.XLOOKUP(WEEKDAY(F6),'Cadastros Auxiliares'!$B$4:$I$4,'Cadastros Auxiliares'!$B$5:$I$5,"")</f>
        <v>#NAME?</v>
      </c>
      <c r="G7" s="22"/>
    </row>
    <row r="8" spans="1:9" ht="24.6" customHeight="1" thickTop="1" thickBot="1">
      <c r="B8" s="46" t="s">
        <v>143</v>
      </c>
      <c r="C8" s="21" t="e" cm="1">
        <f t="array" aca="1" ref="C8" ca="1">_xlfn.XLOOKUP(C6,TB_Produtos[[#All],[Código]],TB_Produtos[[#All],[Tamanho]],"")</f>
        <v>#NAME?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 t="e">
        <f ca="1">_xlfn.XLOOKUP($C$6,Produtos!$B$6:$B$66,Produtos!$G$6:$G$66,"")</f>
        <v>#NAME?</v>
      </c>
      <c r="G10" s="22"/>
    </row>
    <row r="11" spans="1:9" ht="24.6" customHeight="1" thickTop="1" thickBot="1">
      <c r="B11" s="46" t="s">
        <v>145</v>
      </c>
      <c r="C11" s="21" t="e" cm="1">
        <f t="array" aca="1" ref="C11" ca="1">_xlfn.XLOOKUP($C$6,TB_Produtos[[#All],[Código]],TB_Produtos[[#All],[Estoque]],"")</f>
        <v>#NAME?</v>
      </c>
      <c r="G11" s="22"/>
    </row>
    <row r="12" spans="1:9" ht="22.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 t="e">
        <f ca="1">_xlfn.XLOOKUP(C9,'Cadastros Auxiliares'!G9:G11,'Cadastros Auxiliares'!H9:H11)</f>
        <v>#NAME?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7">
    <tabColor rgb="FFFF0000"/>
  </sheetPr>
  <dimension ref="A2:F7"/>
  <sheetViews>
    <sheetView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7.42578125" bestFit="1" customWidth="1"/>
    <col min="6" max="6" width="21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7.42578125" bestFit="1" customWidth="1"/>
    <col min="2" max="2" width="13.28515625" bestFit="1" customWidth="1"/>
    <col min="3" max="3" width="11.85546875" bestFit="1" customWidth="1"/>
    <col min="4" max="4" width="4.85546875" customWidth="1"/>
    <col min="5" max="5" width="17.42578125" bestFit="1" customWidth="1"/>
    <col min="6" max="6" width="11.140625" style="1" bestFit="1" customWidth="1"/>
    <col min="7" max="7" width="10.5703125" style="1" bestFit="1" customWidth="1"/>
    <col min="8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18.7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18.7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36.7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5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5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5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5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5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ilha11"/>
  <dimension ref="C1:CB46"/>
  <sheetViews>
    <sheetView showGridLines="0" showRowColHeaders="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1" t="s">
        <v>76</v>
      </c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3"/>
      <c r="AQ2" s="81" t="s">
        <v>77</v>
      </c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3"/>
      <c r="BK2" s="81" t="s">
        <v>78</v>
      </c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3"/>
    </row>
    <row r="3" spans="3:80" ht="9.75" customHeight="1" thickBot="1">
      <c r="W3" s="84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6"/>
      <c r="AQ3" s="84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6"/>
      <c r="BK3" s="84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6"/>
    </row>
    <row r="4" spans="3:80" ht="9.75" customHeight="1">
      <c r="W4" s="96">
        <f>GETPIVOTDATA("Produtos",DN_Produtos!$E$3)</f>
        <v>60</v>
      </c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8"/>
      <c r="AQ4" s="96">
        <f>GETPIVOTDATA("[Measures].[Soma de Qtd]",DN_Vendas!$A$3)</f>
        <v>250</v>
      </c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8"/>
      <c r="BK4" s="105">
        <f>GETPIVOTDATA("[Measures].[Soma de Total]",DN_Vendas!$A$3)</f>
        <v>33304.799999999988</v>
      </c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6"/>
      <c r="BZ4" s="106"/>
      <c r="CA4" s="106"/>
      <c r="CB4" s="107"/>
    </row>
    <row r="5" spans="3:80" ht="9.75" customHeight="1">
      <c r="W5" s="99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1"/>
      <c r="AQ5" s="99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1"/>
      <c r="BK5" s="108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10"/>
    </row>
    <row r="6" spans="3:80" ht="9.75" customHeight="1">
      <c r="W6" s="99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1"/>
      <c r="AQ6" s="99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1"/>
      <c r="BK6" s="108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10"/>
    </row>
    <row r="7" spans="3:80" ht="9.75" customHeight="1" thickBot="1">
      <c r="W7" s="102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4"/>
      <c r="AQ7" s="102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4"/>
      <c r="BK7" s="111"/>
      <c r="BL7" s="112"/>
      <c r="BM7" s="112"/>
      <c r="BN7" s="112"/>
      <c r="BO7" s="112"/>
      <c r="BP7" s="112"/>
      <c r="BQ7" s="112"/>
      <c r="BR7" s="112"/>
      <c r="BS7" s="112"/>
      <c r="BT7" s="112"/>
      <c r="BU7" s="112"/>
      <c r="BV7" s="112"/>
      <c r="BW7" s="112"/>
      <c r="BX7" s="112"/>
      <c r="BY7" s="112"/>
      <c r="BZ7" s="112"/>
      <c r="CA7" s="112"/>
      <c r="CB7" s="113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9"/>
    </row>
    <row r="12" spans="3:80" ht="9.75" customHeight="1">
      <c r="C12" s="90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2"/>
    </row>
    <row r="13" spans="3:80" ht="9.75" customHeight="1">
      <c r="C13" s="90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2"/>
    </row>
    <row r="14" spans="3:80" ht="9.75" customHeight="1">
      <c r="C14" s="90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2"/>
    </row>
    <row r="15" spans="3:80" ht="9.75" customHeight="1"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2"/>
    </row>
    <row r="16" spans="3:80" ht="9.75" customHeight="1">
      <c r="C16" s="90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2"/>
    </row>
    <row r="17" spans="3:80" ht="9.75" customHeight="1">
      <c r="C17" s="90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2"/>
    </row>
    <row r="18" spans="3:80" ht="9.75" customHeight="1">
      <c r="C18" s="90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2"/>
    </row>
    <row r="19" spans="3:80" ht="9.75" customHeight="1">
      <c r="C19" s="90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2"/>
    </row>
    <row r="20" spans="3:80" ht="9.75" customHeight="1">
      <c r="C20" s="90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2"/>
    </row>
    <row r="21" spans="3:80" ht="9.75" customHeight="1">
      <c r="C21" s="90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2"/>
    </row>
    <row r="22" spans="3:80" ht="9.75" customHeight="1">
      <c r="C22" s="90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2"/>
    </row>
    <row r="23" spans="3:80" ht="9.75" customHeight="1">
      <c r="C23" s="90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2"/>
    </row>
    <row r="24" spans="3:80" ht="9.75" customHeight="1" thickBot="1">
      <c r="C24" s="93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5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87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9"/>
      <c r="AQ28" s="87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9"/>
    </row>
    <row r="29" spans="3:80" ht="9.75" customHeight="1">
      <c r="C29" s="90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2"/>
      <c r="AQ29" s="90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2"/>
    </row>
    <row r="30" spans="3:80" ht="9.75" customHeight="1">
      <c r="C30" s="90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2"/>
      <c r="AQ30" s="90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2"/>
    </row>
    <row r="31" spans="3:80" ht="9.75" customHeight="1"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2"/>
      <c r="AQ31" s="90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2"/>
    </row>
    <row r="32" spans="3:80" ht="9.75" customHeight="1"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2"/>
      <c r="AQ32" s="90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2"/>
    </row>
    <row r="33" spans="3:80" ht="9.75" customHeight="1"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2"/>
      <c r="AQ33" s="90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2"/>
    </row>
    <row r="34" spans="3:80" ht="9.75" customHeight="1"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2"/>
      <c r="AQ34" s="90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2"/>
    </row>
    <row r="35" spans="3:80" ht="9.75" customHeight="1"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2"/>
      <c r="AQ35" s="90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2"/>
    </row>
    <row r="36" spans="3:80" ht="9.75" customHeight="1"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2"/>
      <c r="AQ36" s="90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2"/>
    </row>
    <row r="37" spans="3:80" ht="9.75" customHeight="1"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2"/>
      <c r="AQ37" s="90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2"/>
    </row>
    <row r="38" spans="3:80" ht="9.75" customHeight="1"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2"/>
      <c r="AQ38" s="90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2"/>
    </row>
    <row r="39" spans="3:80" ht="9.75" customHeight="1"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2"/>
      <c r="AQ39" s="90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2"/>
    </row>
    <row r="40" spans="3:80" ht="9.75" customHeight="1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2"/>
      <c r="AQ40" s="90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2"/>
    </row>
    <row r="41" spans="3:80" ht="9.75" customHeight="1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2"/>
      <c r="AQ41" s="90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2"/>
    </row>
    <row r="42" spans="3:80" ht="9.75" customHeight="1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2"/>
      <c r="AQ42" s="90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</row>
    <row r="43" spans="3:80" ht="9.75" customHeight="1">
      <c r="C43" s="90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2"/>
      <c r="AQ43" s="90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2"/>
    </row>
    <row r="44" spans="3:80" ht="9.75" customHeight="1">
      <c r="C44" s="90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2"/>
      <c r="AQ44" s="90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2"/>
    </row>
    <row r="45" spans="3:80" ht="9.75" customHeight="1">
      <c r="C45" s="90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2"/>
      <c r="AQ45" s="90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2"/>
    </row>
    <row r="46" spans="3:80" ht="9.75" customHeight="1" thickBot="1">
      <c r="C46" s="93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5"/>
      <c r="AQ46" s="93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ilha12">
    <tabColor theme="5"/>
  </sheetPr>
  <dimension ref="A2:N16"/>
  <sheetViews>
    <sheetView workbookViewId="0">
      <selection activeCell="A3" sqref="A3"/>
    </sheetView>
  </sheetViews>
  <sheetFormatPr defaultRowHeight="15"/>
  <cols>
    <col min="1" max="1" width="17.42578125" bestFit="1" customWidth="1"/>
    <col min="2" max="2" width="14.140625" bestFit="1" customWidth="1"/>
    <col min="3" max="3" width="11.85546875" bestFit="1" customWidth="1"/>
    <col min="4" max="4" width="8.140625" customWidth="1"/>
    <col min="5" max="5" width="17.42578125" bestFit="1" customWidth="1"/>
    <col min="6" max="6" width="14.140625" bestFit="1" customWidth="1"/>
    <col min="7" max="7" width="6.5703125" customWidth="1"/>
    <col min="8" max="8" width="17.42578125" bestFit="1" customWidth="1"/>
    <col min="9" max="9" width="15.5703125" bestFit="1" customWidth="1"/>
    <col min="10" max="10" width="15" bestFit="1" customWidth="1"/>
    <col min="11" max="11" width="17.1406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ilha13"/>
  <dimension ref="C2:CB46"/>
  <sheetViews>
    <sheetView showGridLines="0" showRowColHeaders="0" tabSelected="1" workbookViewId="0">
      <selection activeCell="BQ63" sqref="BQ63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1" t="s">
        <v>79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3"/>
    </row>
    <row r="10" spans="3:80" ht="9.75" customHeight="1" thickBot="1">
      <c r="C10" s="84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6"/>
    </row>
    <row r="11" spans="3:80" ht="9.75" customHeight="1"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9"/>
    </row>
    <row r="12" spans="3:80" ht="9.75" customHeight="1">
      <c r="C12" s="90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2"/>
    </row>
    <row r="13" spans="3:80" ht="9.75" customHeight="1">
      <c r="C13" s="90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2"/>
    </row>
    <row r="14" spans="3:80" ht="9.75" customHeight="1">
      <c r="C14" s="90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2"/>
    </row>
    <row r="15" spans="3:80" ht="9.75" customHeight="1">
      <c r="C15" s="90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2"/>
    </row>
    <row r="16" spans="3:80" ht="9.75" customHeight="1">
      <c r="C16" s="90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2"/>
    </row>
    <row r="17" spans="3:80" ht="9.75" customHeight="1">
      <c r="C17" s="90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2"/>
    </row>
    <row r="18" spans="3:80" ht="9.75" customHeight="1">
      <c r="C18" s="90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2"/>
    </row>
    <row r="19" spans="3:80" ht="9.75" customHeight="1">
      <c r="C19" s="90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2"/>
    </row>
    <row r="20" spans="3:80" ht="9.75" customHeight="1">
      <c r="C20" s="90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2"/>
    </row>
    <row r="21" spans="3:80" ht="9.75" customHeight="1">
      <c r="C21" s="90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2"/>
    </row>
    <row r="22" spans="3:80" ht="9.75" customHeight="1">
      <c r="C22" s="90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2"/>
    </row>
    <row r="23" spans="3:80" ht="9.75" customHeight="1">
      <c r="C23" s="90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2"/>
    </row>
    <row r="24" spans="3:80" ht="9.75" customHeight="1" thickBot="1">
      <c r="C24" s="93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5"/>
    </row>
    <row r="25" spans="3:80" ht="9.75" customHeight="1" thickBot="1"/>
    <row r="26" spans="3:80" ht="9.75" customHeight="1">
      <c r="C26" s="81" t="s">
        <v>80</v>
      </c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3"/>
      <c r="AO26" s="6"/>
      <c r="AP26" s="6"/>
      <c r="AQ26" s="81" t="s">
        <v>81</v>
      </c>
      <c r="AR26" s="82"/>
      <c r="AS26" s="82"/>
      <c r="AT26" s="82"/>
      <c r="AU26" s="82"/>
      <c r="AV26" s="82"/>
      <c r="AW26" s="82"/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J26" s="82"/>
      <c r="BK26" s="82"/>
      <c r="BL26" s="82"/>
      <c r="BM26" s="82"/>
      <c r="BN26" s="82"/>
      <c r="BO26" s="82"/>
      <c r="BP26" s="82"/>
      <c r="BQ26" s="82"/>
      <c r="BR26" s="82"/>
      <c r="BS26" s="82"/>
      <c r="BT26" s="82"/>
      <c r="BU26" s="82"/>
      <c r="BV26" s="82"/>
      <c r="BW26" s="82"/>
      <c r="BX26" s="82"/>
      <c r="BY26" s="82"/>
      <c r="BZ26" s="82"/>
      <c r="CA26" s="82"/>
      <c r="CB26" s="83"/>
    </row>
    <row r="27" spans="3:80" ht="9.75" customHeight="1" thickBot="1">
      <c r="C27" s="84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6"/>
      <c r="AO27" s="6"/>
      <c r="AP27" s="6"/>
      <c r="AQ27" s="84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6"/>
    </row>
    <row r="28" spans="3:80" ht="9.75" customHeight="1">
      <c r="C28" s="87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8"/>
      <c r="AL28" s="88"/>
      <c r="AM28" s="88"/>
      <c r="AN28" s="89"/>
      <c r="AQ28" s="87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9"/>
    </row>
    <row r="29" spans="3:80" ht="9.75" customHeight="1">
      <c r="C29" s="90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2"/>
      <c r="AQ29" s="90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2"/>
    </row>
    <row r="30" spans="3:80" ht="9.75" customHeight="1">
      <c r="C30" s="90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2"/>
      <c r="AQ30" s="90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2"/>
    </row>
    <row r="31" spans="3:80" ht="9.75" customHeight="1">
      <c r="C31" s="90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2"/>
      <c r="AQ31" s="90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2"/>
    </row>
    <row r="32" spans="3:80" ht="9.75" customHeight="1">
      <c r="C32" s="90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2"/>
      <c r="AQ32" s="90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2"/>
    </row>
    <row r="33" spans="3:80" ht="9.75" customHeight="1">
      <c r="C33" s="90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2"/>
      <c r="AQ33" s="90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2"/>
    </row>
    <row r="34" spans="3:80" ht="9.75" customHeight="1">
      <c r="C34" s="90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2"/>
      <c r="AQ34" s="90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2"/>
    </row>
    <row r="35" spans="3:80" ht="9.75" customHeight="1">
      <c r="C35" s="90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2"/>
      <c r="AQ35" s="90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2"/>
    </row>
    <row r="36" spans="3:80" ht="9.75" customHeight="1">
      <c r="C36" s="90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2"/>
      <c r="AQ36" s="90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2"/>
    </row>
    <row r="37" spans="3:80" ht="9.75" customHeight="1">
      <c r="C37" s="90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2"/>
      <c r="AQ37" s="90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2"/>
    </row>
    <row r="38" spans="3:80" ht="9.75" customHeight="1">
      <c r="C38" s="90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2"/>
      <c r="AQ38" s="90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2"/>
    </row>
    <row r="39" spans="3:80" ht="9.75" customHeight="1">
      <c r="C39" s="90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2"/>
      <c r="AQ39" s="90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2"/>
    </row>
    <row r="40" spans="3:80" ht="9.75" customHeight="1">
      <c r="C40" s="90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2"/>
      <c r="AQ40" s="90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2"/>
    </row>
    <row r="41" spans="3:80" ht="9.75" customHeight="1">
      <c r="C41" s="90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2"/>
      <c r="AQ41" s="90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2"/>
    </row>
    <row r="42" spans="3:80" ht="9.75" customHeight="1">
      <c r="C42" s="90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2"/>
      <c r="AQ42" s="90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2"/>
    </row>
    <row r="43" spans="3:80" ht="9.75" customHeight="1">
      <c r="C43" s="90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2"/>
      <c r="AQ43" s="90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2"/>
    </row>
    <row r="44" spans="3:80" ht="9.75" customHeight="1">
      <c r="C44" s="90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2"/>
      <c r="AQ44" s="90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2"/>
    </row>
    <row r="45" spans="3:80" ht="9.75" customHeight="1">
      <c r="C45" s="90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2"/>
      <c r="AQ45" s="90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2"/>
    </row>
    <row r="46" spans="3:80" ht="9.75" customHeight="1" thickBot="1">
      <c r="C46" s="93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5"/>
      <c r="AQ46" s="93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5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extLst xmlns:x14="http://schemas.microsoft.com/office/spreadsheetml/2009/9/main">
    <ext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7E0C7BAF-40DC-4B74-98A7-8D734812F189}">
  <ds:schemaRefs/>
</ds:datastoreItem>
</file>

<file path=customXml/itemProps2.xml><?xml version="1.0" encoding="utf-8"?>
<ds:datastoreItem xmlns:ds="http://schemas.openxmlformats.org/officeDocument/2006/customXml" ds:itemID="{41403322-61D8-4C07-B361-867FAC43DDDC}">
  <ds:schemaRefs/>
</ds:datastoreItem>
</file>

<file path=customXml/itemProps3.xml><?xml version="1.0" encoding="utf-8"?>
<ds:datastoreItem xmlns:ds="http://schemas.openxmlformats.org/officeDocument/2006/customXml" ds:itemID="{0B4F83D8-0085-491D-B300-BE5F2F7731F5}">
  <ds:schemaRefs/>
</ds:datastoreItem>
</file>

<file path=customXml/itemProps4.xml><?xml version="1.0" encoding="utf-8"?>
<ds:datastoreItem xmlns:ds="http://schemas.openxmlformats.org/officeDocument/2006/customXml" ds:itemID="{A6D55ACD-20FE-42D4-A241-E646A1FF59CD}">
  <ds:schemaRefs/>
</ds:datastoreItem>
</file>

<file path=customXml/itemProps5.xml><?xml version="1.0" encoding="utf-8"?>
<ds:datastoreItem xmlns:ds="http://schemas.openxmlformats.org/officeDocument/2006/customXml" ds:itemID="{C6A78C9D-8065-435B-B685-2A7DBBDDC026}">
  <ds:schemaRefs/>
</ds:datastoreItem>
</file>

<file path=customXml/itemProps6.xml><?xml version="1.0" encoding="utf-8"?>
<ds:datastoreItem xmlns:ds="http://schemas.openxmlformats.org/officeDocument/2006/customXml" ds:itemID="{4A8E958C-7F93-4889-B450-DBCB563BE705}">
  <ds:schemaRefs/>
</ds:datastoreItem>
</file>

<file path=customXml/itemProps7.xml><?xml version="1.0" encoding="utf-8"?>
<ds:datastoreItem xmlns:ds="http://schemas.openxmlformats.org/officeDocument/2006/customXml" ds:itemID="{44B6BCB6-5B75-4825-B0CC-FEB1817C362D}">
  <ds:schemaRefs/>
</ds:datastoreItem>
</file>

<file path=customXml/itemProps8.xml><?xml version="1.0" encoding="utf-8"?>
<ds:datastoreItem xmlns:ds="http://schemas.openxmlformats.org/officeDocument/2006/customXml" ds:itemID="{14F30766-877F-4CEE-8B61-99D4DA6E0404}">
  <ds:schemaRefs/>
</ds:datastoreItem>
</file>

<file path=customXml/itemProps9.xml><?xml version="1.0" encoding="utf-8"?>
<ds:datastoreItem xmlns:ds="http://schemas.openxmlformats.org/officeDocument/2006/customXml" ds:itemID="{DB0DD2B5-3D61-45C4-B5FB-71993146C7E7}">
  <ds:schemaRefs/>
</ds:datastoreItem>
</file>

<file path=customXml/itemProps10.xml><?xml version="1.0" encoding="utf-8"?>
<ds:datastoreItem xmlns:ds="http://schemas.openxmlformats.org/officeDocument/2006/customXml" ds:itemID="{B21C3F93-5E73-42A5-930D-80E9914997CC}">
  <ds:schemaRefs/>
</ds:datastoreItem>
</file>

<file path=customXml/itemProps11.xml><?xml version="1.0" encoding="utf-8"?>
<ds:datastoreItem xmlns:ds="http://schemas.openxmlformats.org/officeDocument/2006/customXml" ds:itemID="{AE46B711-507D-4FA2-AD64-BEFBA75BECF5}">
  <ds:schemaRefs/>
</ds:datastoreItem>
</file>

<file path=customXml/itemProps12.xml><?xml version="1.0" encoding="utf-8"?>
<ds:datastoreItem xmlns:ds="http://schemas.openxmlformats.org/officeDocument/2006/customXml" ds:itemID="{03E72766-9FF3-4E59-B2A3-BC8336C63639}">
  <ds:schemaRefs/>
</ds:datastoreItem>
</file>

<file path=customXml/itemProps13.xml><?xml version="1.0" encoding="utf-8"?>
<ds:datastoreItem xmlns:ds="http://schemas.openxmlformats.org/officeDocument/2006/customXml" ds:itemID="{8467EB31-1629-4343-9314-56544F2D7367}">
  <ds:schemaRefs/>
</ds:datastoreItem>
</file>

<file path=customXml/itemProps14.xml><?xml version="1.0" encoding="utf-8"?>
<ds:datastoreItem xmlns:ds="http://schemas.openxmlformats.org/officeDocument/2006/customXml" ds:itemID="{8BD1F459-29F0-476B-BAC0-1F70E583D314}">
  <ds:schemaRefs/>
</ds:datastoreItem>
</file>

<file path=customXml/itemProps15.xml><?xml version="1.0" encoding="utf-8"?>
<ds:datastoreItem xmlns:ds="http://schemas.openxmlformats.org/officeDocument/2006/customXml" ds:itemID="{D241DFED-96C7-410B-9EC8-D8F63F7CE5B4}">
  <ds:schemaRefs/>
</ds:datastoreItem>
</file>

<file path=customXml/itemProps16.xml><?xml version="1.0" encoding="utf-8"?>
<ds:datastoreItem xmlns:ds="http://schemas.openxmlformats.org/officeDocument/2006/customXml" ds:itemID="{976831BA-0CE6-4B82-881B-24FD45E1155C}">
  <ds:schemaRefs/>
</ds:datastoreItem>
</file>

<file path=customXml/itemProps17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6E87F8A6-5B3C-4ADE-98DB-48C175F0A2B0}">
  <ds:schemaRefs/>
</ds:datastoreItem>
</file>

<file path=customXml/itemProps19.xml><?xml version="1.0" encoding="utf-8"?>
<ds:datastoreItem xmlns:ds="http://schemas.openxmlformats.org/officeDocument/2006/customXml" ds:itemID="{1E4D3292-F388-451B-A834-DE9698E505D9}">
  <ds:schemaRefs/>
</ds:datastoreItem>
</file>

<file path=customXml/itemProps20.xml><?xml version="1.0" encoding="utf-8"?>
<ds:datastoreItem xmlns:ds="http://schemas.openxmlformats.org/officeDocument/2006/customXml" ds:itemID="{25BB5A3F-E346-480A-A7E9-E0ECAAB7F5AC}">
  <ds:schemaRefs/>
</ds:datastoreItem>
</file>

<file path=customXml/itemProps21.xml><?xml version="1.0" encoding="utf-8"?>
<ds:datastoreItem xmlns:ds="http://schemas.openxmlformats.org/officeDocument/2006/customXml" ds:itemID="{E137AB40-1728-4643-B64A-5DFE56A4798E}">
  <ds:schemaRefs/>
</ds:datastoreItem>
</file>

<file path=customXml/itemProps22.xml><?xml version="1.0" encoding="utf-8"?>
<ds:datastoreItem xmlns:ds="http://schemas.openxmlformats.org/officeDocument/2006/customXml" ds:itemID="{7E703DC2-5F46-422C-A583-DB730DA69245}">
  <ds:schemaRefs/>
</ds:datastoreItem>
</file>

<file path=customXml/itemProps23.xml><?xml version="1.0" encoding="utf-8"?>
<ds:datastoreItem xmlns:ds="http://schemas.openxmlformats.org/officeDocument/2006/customXml" ds:itemID="{1D1E7D37-9613-45D5-8EDC-43C010898ABB}">
  <ds:schemaRefs/>
</ds:datastoreItem>
</file>

<file path=customXml/itemProps24.xml><?xml version="1.0" encoding="utf-8"?>
<ds:datastoreItem xmlns:ds="http://schemas.openxmlformats.org/officeDocument/2006/customXml" ds:itemID="{A7140D0F-5704-455C-AEE9-2AF1C88808B8}">
  <ds:schemaRefs/>
</ds:datastoreItem>
</file>

<file path=customXml/itemProps25.xml><?xml version="1.0" encoding="utf-8"?>
<ds:datastoreItem xmlns:ds="http://schemas.openxmlformats.org/officeDocument/2006/customXml" ds:itemID="{6C89755F-25D5-451A-81C1-6DD8AF28BA36}">
  <ds:schemaRefs/>
</ds:datastoreItem>
</file>

<file path=customXml/itemProps26.xml><?xml version="1.0" encoding="utf-8"?>
<ds:datastoreItem xmlns:ds="http://schemas.openxmlformats.org/officeDocument/2006/customXml" ds:itemID="{B978344E-877F-46A7-8D81-C1940F952A20}">
  <ds:schemaRefs/>
</ds:datastoreItem>
</file>

<file path=customXml/itemProps27.xml><?xml version="1.0" encoding="utf-8"?>
<ds:datastoreItem xmlns:ds="http://schemas.openxmlformats.org/officeDocument/2006/customXml" ds:itemID="{88A8C053-5BCC-4302-A3EC-6CF3242E0B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</vt:i4>
      </vt:variant>
    </vt:vector>
  </HeadingPairs>
  <TitlesOfParts>
    <vt:vector size="16" baseType="lpstr">
      <vt:lpstr>Menu</vt:lpstr>
      <vt:lpstr>Produtos</vt:lpstr>
      <vt:lpstr>Vendedores</vt:lpstr>
      <vt:lpstr>Vendas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Desc_Categorias</vt:lpstr>
      <vt:lpstr>Desc_Quantidades</vt:lpstr>
      <vt:lpstr>Desc_TabelaToda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Windows User</cp:lastModifiedBy>
  <cp:lastPrinted>2023-06-07T14:57:58Z</cp:lastPrinted>
  <dcterms:created xsi:type="dcterms:W3CDTF">2023-06-02T17:54:12Z</dcterms:created>
  <dcterms:modified xsi:type="dcterms:W3CDTF">2024-12-19T13:45:52Z</dcterms:modified>
</cp:coreProperties>
</file>